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" sheetId="1" r:id="rId5"/>
    <sheet state="visible" name="m35s" sheetId="2" r:id="rId6"/>
    <sheet state="visible" name="m45s" sheetId="3" r:id="rId7"/>
    <sheet state="visible" name="m55s" sheetId="4" r:id="rId8"/>
    <sheet state="visible" name="m65s" sheetId="5" r:id="rId9"/>
    <sheet state="visible" name="mw" sheetId="6" r:id="rId10"/>
    <sheet state="visible" name="m45w" sheetId="7" r:id="rId11"/>
    <sheet state="visible" name="m55w" sheetId="8" r:id="rId12"/>
    <sheet state="visible" name="m65w" sheetId="9" r:id="rId13"/>
    <sheet state="visible" name="mbs" sheetId="10" r:id="rId14"/>
    <sheet state="visible" name="mbw" sheetId="11" r:id="rId15"/>
    <sheet state="visible" name="ls" sheetId="12" r:id="rId16"/>
    <sheet state="visible" name="lw" sheetId="13" r:id="rId17"/>
    <sheet state="visible" name="l45w" sheetId="14" r:id="rId18"/>
    <sheet state="visible" name="l55w" sheetId="15" r:id="rId19"/>
    <sheet state="visible" name="lbs" sheetId="16" r:id="rId20"/>
    <sheet state="visible" name="lbw" sheetId="17" r:id="rId21"/>
  </sheets>
  <definedNames/>
  <calcPr/>
</workbook>
</file>

<file path=xl/sharedStrings.xml><?xml version="1.0" encoding="utf-8"?>
<sst xmlns="http://schemas.openxmlformats.org/spreadsheetml/2006/main" count="1194" uniqueCount="531">
  <si>
    <t>男子シングルス 　　 ２０２５年度</t>
  </si>
  <si>
    <t>ランク</t>
  </si>
  <si>
    <t>氏名</t>
  </si>
  <si>
    <t>所属</t>
  </si>
  <si>
    <t>合計</t>
  </si>
  <si>
    <t>東部選</t>
  </si>
  <si>
    <t>中部選</t>
  </si>
  <si>
    <t>西部選</t>
  </si>
  <si>
    <t>国体予</t>
  </si>
  <si>
    <t>全日本</t>
  </si>
  <si>
    <t>令和cup</t>
  </si>
  <si>
    <t>気高</t>
  </si>
  <si>
    <t>県選</t>
  </si>
  <si>
    <t>西島杯</t>
  </si>
  <si>
    <t>境港オ</t>
  </si>
  <si>
    <t>山陰選</t>
  </si>
  <si>
    <t>鳥室内</t>
  </si>
  <si>
    <t>米室内</t>
  </si>
  <si>
    <t>県室内</t>
  </si>
  <si>
    <t>斉木　孝輔</t>
  </si>
  <si>
    <t>WAVE</t>
  </si>
  <si>
    <t>米本　叶芽</t>
  </si>
  <si>
    <t>青翔開智</t>
  </si>
  <si>
    <t>安田　彰汰</t>
  </si>
  <si>
    <t>遊ポートTC</t>
  </si>
  <si>
    <t>白石　直紀</t>
  </si>
  <si>
    <t>鳥取銀行</t>
  </si>
  <si>
    <t>田中　芳宏</t>
  </si>
  <si>
    <t>山陰労災病院</t>
  </si>
  <si>
    <t>小山　慶大</t>
  </si>
  <si>
    <t>こやまテニス教室</t>
  </si>
  <si>
    <t>野坂　佑輔</t>
  </si>
  <si>
    <t>サニーTS</t>
  </si>
  <si>
    <t>船川　凌我</t>
  </si>
  <si>
    <t>鳥取大学</t>
  </si>
  <si>
    <t>石原　康司</t>
  </si>
  <si>
    <t>フリー</t>
  </si>
  <si>
    <t>中瀬　麻琴</t>
  </si>
  <si>
    <t>檜垣　直斗</t>
  </si>
  <si>
    <t>野々口　友博</t>
  </si>
  <si>
    <t>平木　優成</t>
  </si>
  <si>
    <t>ウィング</t>
  </si>
  <si>
    <t>太田　翔</t>
  </si>
  <si>
    <t>岡山理大付属高</t>
  </si>
  <si>
    <t>板脇　聖大</t>
  </si>
  <si>
    <t>カプリス</t>
  </si>
  <si>
    <t>堀　健司</t>
  </si>
  <si>
    <t>NOK</t>
  </si>
  <si>
    <t>小池　直哉</t>
  </si>
  <si>
    <t>doMe</t>
  </si>
  <si>
    <t>廣江　健生</t>
  </si>
  <si>
    <t>STEVE</t>
  </si>
  <si>
    <t>岩本　拓</t>
  </si>
  <si>
    <t>オレンジ</t>
  </si>
  <si>
    <t>杉山　孝平</t>
  </si>
  <si>
    <t>ハクト</t>
  </si>
  <si>
    <t>伊藤　啓介</t>
  </si>
  <si>
    <t>LTC河原</t>
  </si>
  <si>
    <t>中道　公貴</t>
  </si>
  <si>
    <t>小川　真平</t>
  </si>
  <si>
    <t>岩木　清貴</t>
  </si>
  <si>
    <t>５C</t>
  </si>
  <si>
    <t>湯浅　裕貴</t>
  </si>
  <si>
    <t>ロランギャロス</t>
  </si>
  <si>
    <t>岸本　健悟</t>
  </si>
  <si>
    <t>気高電機</t>
  </si>
  <si>
    <t>有田　朋由</t>
  </si>
  <si>
    <t>岩見　直哉</t>
  </si>
  <si>
    <t>GODAI亀戸</t>
  </si>
  <si>
    <t>杦山　克弥</t>
  </si>
  <si>
    <t>湖山池TC</t>
  </si>
  <si>
    <t>岡　真平</t>
  </si>
  <si>
    <t>野波　佳聖</t>
  </si>
  <si>
    <t>徳島　龍弥</t>
  </si>
  <si>
    <t>野坂　大輔</t>
  </si>
  <si>
    <t>遠藤　龍希</t>
  </si>
  <si>
    <t>HTC</t>
  </si>
  <si>
    <t>永海　豪</t>
  </si>
  <si>
    <t>遠藤　絢弥</t>
  </si>
  <si>
    <t>森田 敬次</t>
  </si>
  <si>
    <t>5C</t>
  </si>
  <si>
    <t>小川　拓</t>
  </si>
  <si>
    <t>プラセール</t>
  </si>
  <si>
    <t>日下部　章弘</t>
  </si>
  <si>
    <t>FTC</t>
  </si>
  <si>
    <t>斎藤　辰哉</t>
  </si>
  <si>
    <t>岡墻　篤典</t>
  </si>
  <si>
    <t>鳥取市役所</t>
  </si>
  <si>
    <t>山根　暁</t>
  </si>
  <si>
    <t>松本　孝</t>
  </si>
  <si>
    <t>白石　康博</t>
  </si>
  <si>
    <t>レインボー</t>
  </si>
  <si>
    <t xml:space="preserve">吉村　真輝 </t>
  </si>
  <si>
    <t>KPI</t>
  </si>
  <si>
    <t>白男川　恵太</t>
  </si>
  <si>
    <t>ＮＴＣ</t>
  </si>
  <si>
    <t>日下部　颯太</t>
  </si>
  <si>
    <t>八頭高校</t>
  </si>
  <si>
    <t>寺澤　潤</t>
  </si>
  <si>
    <t>境港ジュニア</t>
  </si>
  <si>
    <t>細川　善貴</t>
  </si>
  <si>
    <t>高木　克憲</t>
  </si>
  <si>
    <t>off</t>
  </si>
  <si>
    <t>森山　蒼太</t>
  </si>
  <si>
    <t>広島経済大学</t>
  </si>
  <si>
    <t>金藤　宏樹</t>
  </si>
  <si>
    <t>吉田　大輔</t>
  </si>
  <si>
    <t>MIDPLUS</t>
  </si>
  <si>
    <t>河上　和磨</t>
  </si>
  <si>
    <t>森村　一信</t>
  </si>
  <si>
    <t>矢島　剛</t>
  </si>
  <si>
    <t>SALT</t>
  </si>
  <si>
    <t>湯浅　啓司</t>
  </si>
  <si>
    <t>津田　勇斗</t>
  </si>
  <si>
    <t>米子西高</t>
  </si>
  <si>
    <t>井上　忠信</t>
  </si>
  <si>
    <t>古田　守</t>
  </si>
  <si>
    <t>YLTC</t>
  </si>
  <si>
    <t>西田　敬</t>
  </si>
  <si>
    <t>山本　幸司</t>
  </si>
  <si>
    <t>高島　大暉</t>
  </si>
  <si>
    <t>湯浅　英明</t>
  </si>
  <si>
    <t>角田　達也</t>
  </si>
  <si>
    <t>大原 煌希</t>
  </si>
  <si>
    <t>鷲見　康平</t>
  </si>
  <si>
    <t>岸野　優</t>
  </si>
  <si>
    <t>フェアウェイ</t>
  </si>
  <si>
    <t>川井　翔聖</t>
  </si>
  <si>
    <t>米子東高</t>
  </si>
  <si>
    <t>永海　一夫</t>
  </si>
  <si>
    <t>米子フリー</t>
  </si>
  <si>
    <t>渡辺　裕介</t>
  </si>
  <si>
    <t>石田　敦裕</t>
  </si>
  <si>
    <t>中津　快成</t>
  </si>
  <si>
    <t>鳥大医学部</t>
  </si>
  <si>
    <t>光武　直哉</t>
  </si>
  <si>
    <t>更科　達哉</t>
  </si>
  <si>
    <t>*</t>
  </si>
  <si>
    <t>2024年度　終了分</t>
  </si>
  <si>
    <t>2025年度　終了分</t>
  </si>
  <si>
    <t xml:space="preserve">３５才以上男子シングルス  　２０２５年度　</t>
  </si>
  <si>
    <t>大会名</t>
  </si>
  <si>
    <t>全山陰</t>
  </si>
  <si>
    <t>岩田　和宏</t>
  </si>
  <si>
    <t>安来クラブ</t>
  </si>
  <si>
    <t>西尾　尚紀</t>
  </si>
  <si>
    <t>ＭＩＤＰＬＵＳ</t>
  </si>
  <si>
    <t xml:space="preserve">４５才以上男子シングルス  　２０２５年度　</t>
  </si>
  <si>
    <t>井崎　直樹</t>
  </si>
  <si>
    <t>森本　一義</t>
  </si>
  <si>
    <t>山崎　信博</t>
  </si>
  <si>
    <t>ＫＳＴ</t>
  </si>
  <si>
    <t xml:space="preserve">野口　剛 </t>
  </si>
  <si>
    <t>山陰合同銀行</t>
  </si>
  <si>
    <t>林　輝</t>
  </si>
  <si>
    <t>渡辺　仁</t>
  </si>
  <si>
    <t>吉村　真輝</t>
  </si>
  <si>
    <t>吉岡　拓郎</t>
  </si>
  <si>
    <t>椿　誠</t>
  </si>
  <si>
    <t>田中　洋介</t>
  </si>
  <si>
    <t>サニーTC</t>
  </si>
  <si>
    <t>白石　博昭</t>
  </si>
  <si>
    <t>田村　真一</t>
  </si>
  <si>
    <t xml:space="preserve">大原　教臣 </t>
  </si>
  <si>
    <t>大谷　智彦</t>
  </si>
  <si>
    <t>戸苅　丈仁</t>
  </si>
  <si>
    <t>橋本　真也</t>
  </si>
  <si>
    <t>野波　雄一</t>
  </si>
  <si>
    <t>田中　豪</t>
  </si>
  <si>
    <t>米子市役所</t>
  </si>
  <si>
    <t>金山　真宏</t>
  </si>
  <si>
    <t>来海　裕一</t>
  </si>
  <si>
    <t>逸見　佳弘</t>
  </si>
  <si>
    <t>竹林　勲</t>
  </si>
  <si>
    <t xml:space="preserve">YLTC </t>
  </si>
  <si>
    <t xml:space="preserve">赤木　利行 </t>
  </si>
  <si>
    <t>オムロン</t>
  </si>
  <si>
    <t>川瀬　章敬</t>
  </si>
  <si>
    <t>三保　友史</t>
  </si>
  <si>
    <t>サニーＴＳ</t>
  </si>
  <si>
    <t>大本　朋良</t>
  </si>
  <si>
    <t xml:space="preserve">５５才以上男子シングルス  　２０２５年度　</t>
  </si>
  <si>
    <t>鳥取室</t>
  </si>
  <si>
    <t>盛本　貴之</t>
  </si>
  <si>
    <t>宇田　滋</t>
  </si>
  <si>
    <t>KTC</t>
  </si>
  <si>
    <t>小谷　桂介</t>
  </si>
  <si>
    <t>T-nuts</t>
  </si>
  <si>
    <t>下谷　慎一</t>
  </si>
  <si>
    <t>原　康浩</t>
  </si>
  <si>
    <t>宮田　真一</t>
  </si>
  <si>
    <t>鳥取市ローン</t>
  </si>
  <si>
    <t>米村　琢巳</t>
  </si>
  <si>
    <t>倉島　登</t>
  </si>
  <si>
    <t>橋本　義斉</t>
  </si>
  <si>
    <t>drop☆shot</t>
  </si>
  <si>
    <t xml:space="preserve">６５才以上男子シングルス  　２０２５年度　</t>
  </si>
  <si>
    <t>令和カップ</t>
  </si>
  <si>
    <t>米子室内</t>
  </si>
  <si>
    <t>勝井　節朗</t>
  </si>
  <si>
    <t>リサーチTC</t>
  </si>
  <si>
    <t>井東　元示</t>
  </si>
  <si>
    <t>スポネットなんぶ</t>
  </si>
  <si>
    <t>岸田　昭郎</t>
  </si>
  <si>
    <t>ルーデンス</t>
  </si>
  <si>
    <t>永見　正次郎</t>
  </si>
  <si>
    <t xml:space="preserve">フェアウェイ </t>
  </si>
  <si>
    <t>藤田　智博</t>
  </si>
  <si>
    <t>Love ALL</t>
  </si>
  <si>
    <t>梁　正夫</t>
  </si>
  <si>
    <t>リバティ</t>
  </si>
  <si>
    <t>岡田　忠彦</t>
  </si>
  <si>
    <t>古志　正人</t>
  </si>
  <si>
    <t>FLTC</t>
  </si>
  <si>
    <t>山﨑　育雄</t>
  </si>
  <si>
    <t>RTC</t>
  </si>
  <si>
    <t>村田　雅人</t>
  </si>
  <si>
    <t>スカイウォーカー</t>
  </si>
  <si>
    <t>富永　茂寿</t>
  </si>
  <si>
    <t>石田　好美</t>
  </si>
  <si>
    <t>気高クラブ</t>
  </si>
  <si>
    <t>中島　雄二</t>
  </si>
  <si>
    <t>角田　勝</t>
  </si>
  <si>
    <t>原　栄次</t>
  </si>
  <si>
    <t>北尾　孝則</t>
  </si>
  <si>
    <t>関野　元</t>
  </si>
  <si>
    <t>神庭　誠</t>
  </si>
  <si>
    <t>鳥越　淑人</t>
  </si>
  <si>
    <t>男子ダブルス ２０２５年度</t>
  </si>
  <si>
    <t>皆生</t>
  </si>
  <si>
    <t>ﾀﾞﾝﾛｯﾌﾟ</t>
  </si>
  <si>
    <t>小粥　聡史</t>
  </si>
  <si>
    <t>５Ｃ</t>
  </si>
  <si>
    <t>小松　和人</t>
  </si>
  <si>
    <t>鳥取城北高</t>
  </si>
  <si>
    <t>永清　秀樹</t>
  </si>
  <si>
    <t>野々村　公煕</t>
  </si>
  <si>
    <t>山本　和弥</t>
  </si>
  <si>
    <t>金塚 聖弥</t>
  </si>
  <si>
    <t>北村 恭平</t>
  </si>
  <si>
    <t>羽馬　由和</t>
  </si>
  <si>
    <t>川瀬 章敬</t>
  </si>
  <si>
    <t>鶴石　昌大</t>
  </si>
  <si>
    <t>河上　和麿</t>
  </si>
  <si>
    <t>遠藤 絢弥</t>
  </si>
  <si>
    <t>湖山池ＴＣ</t>
  </si>
  <si>
    <t>藤田　悠希</t>
  </si>
  <si>
    <t>Vivace</t>
  </si>
  <si>
    <t>山根 暁</t>
  </si>
  <si>
    <t>姫野　拓郎</t>
  </si>
  <si>
    <t>松野 祥太</t>
  </si>
  <si>
    <t>KST</t>
  </si>
  <si>
    <t>初沢 駿佑</t>
  </si>
  <si>
    <t>山﨑 大麓</t>
  </si>
  <si>
    <t>永海 豪</t>
  </si>
  <si>
    <t>野坂 大輔</t>
  </si>
  <si>
    <t>作野 光</t>
  </si>
  <si>
    <t xml:space="preserve">伊藤　啓介 </t>
  </si>
  <si>
    <t>西村　啓</t>
  </si>
  <si>
    <t>中村 匡延</t>
  </si>
  <si>
    <t>小川 拓</t>
  </si>
  <si>
    <t>船川 凌我</t>
  </si>
  <si>
    <t>山口 辰之</t>
  </si>
  <si>
    <t>倉吉東高</t>
  </si>
  <si>
    <t>植松 帆次郎</t>
  </si>
  <si>
    <t>境高</t>
  </si>
  <si>
    <t>室原 蔣</t>
  </si>
  <si>
    <t>西山 禎侑</t>
  </si>
  <si>
    <t>中本　祥太郎</t>
  </si>
  <si>
    <t>琴浦ﾃﾆｽｸﾗﾌ</t>
  </si>
  <si>
    <t>西垣　遥</t>
  </si>
  <si>
    <t>梅田　勝太</t>
  </si>
  <si>
    <t>森田　敬次</t>
  </si>
  <si>
    <t xml:space="preserve"> 5C</t>
  </si>
  <si>
    <t>エバルス</t>
  </si>
  <si>
    <t>福本　宏紀</t>
  </si>
  <si>
    <t>メテオスマッシュ</t>
  </si>
  <si>
    <t>赤井　駿斗</t>
  </si>
  <si>
    <t>岡 真平</t>
  </si>
  <si>
    <t>足立 洋次郎</t>
  </si>
  <si>
    <t>足立 晃志</t>
  </si>
  <si>
    <t>廣江 建生</t>
  </si>
  <si>
    <t>2024年度 終了分</t>
  </si>
  <si>
    <t>2025年度 終了分</t>
  </si>
  <si>
    <t xml:space="preserve">4５才以上男子ダブルス　　２０２５年度　</t>
  </si>
  <si>
    <t>都市対抗</t>
  </si>
  <si>
    <t>山陰</t>
  </si>
  <si>
    <t>ダンロップ</t>
  </si>
  <si>
    <t>山口 英晃</t>
  </si>
  <si>
    <t>野波 雄一</t>
  </si>
  <si>
    <t>来海 裕一</t>
  </si>
  <si>
    <t>景山 龍也</t>
  </si>
  <si>
    <t>田村 真一</t>
  </si>
  <si>
    <t>寺澤 潤</t>
  </si>
  <si>
    <t>盛本 貴之</t>
  </si>
  <si>
    <t>小谷 格</t>
  </si>
  <si>
    <t>BSC</t>
  </si>
  <si>
    <t>井崎 直樹</t>
  </si>
  <si>
    <t>下川 裕己</t>
  </si>
  <si>
    <t>森本 一義</t>
  </si>
  <si>
    <t>星川 昌和</t>
  </si>
  <si>
    <t>渡辺 仁</t>
  </si>
  <si>
    <t>白石 直紀</t>
  </si>
  <si>
    <t>大原 教臣</t>
  </si>
  <si>
    <t>鷲見 康平</t>
  </si>
  <si>
    <t>森田 進</t>
  </si>
  <si>
    <t>SYT</t>
  </si>
  <si>
    <t>湯浅 啓司</t>
  </si>
  <si>
    <t>逸見 佳弘</t>
  </si>
  <si>
    <t>金澤 裕治</t>
  </si>
  <si>
    <t>和気 久</t>
  </si>
  <si>
    <t>朝倉 章順</t>
  </si>
  <si>
    <t>戸苅 丈仁</t>
  </si>
  <si>
    <t>星野　真一</t>
  </si>
  <si>
    <t>伊吹　裕昭</t>
  </si>
  <si>
    <t>諏訪　靖典</t>
  </si>
  <si>
    <t>大谷 智彦</t>
  </si>
  <si>
    <t>近藤 宏</t>
  </si>
  <si>
    <t>たんぽぽ</t>
  </si>
  <si>
    <t>赤木 利行</t>
  </si>
  <si>
    <t>橋本 義斉</t>
  </si>
  <si>
    <t>永田　秀一</t>
  </si>
  <si>
    <t xml:space="preserve">５５才以上男子ダブルス　　２０２５年度　</t>
  </si>
  <si>
    <t>小谷　格</t>
  </si>
  <si>
    <t>山口　辰之</t>
  </si>
  <si>
    <t xml:space="preserve">藤田　均 
</t>
  </si>
  <si>
    <t>杉野　隆志</t>
  </si>
  <si>
    <t xml:space="preserve">アスペック </t>
  </si>
  <si>
    <t>藤原　裕文</t>
  </si>
  <si>
    <t>岩井　宣幸</t>
  </si>
  <si>
    <t>砂沢　速人</t>
  </si>
  <si>
    <t>ＦＬＴＣ</t>
  </si>
  <si>
    <t>スポnetなんぶ</t>
  </si>
  <si>
    <t>堀江　優</t>
  </si>
  <si>
    <t xml:space="preserve">６５才以上男子ダブルス  　２０２５年度　 </t>
  </si>
  <si>
    <t>石崎　教二</t>
  </si>
  <si>
    <t>船本　真</t>
  </si>
  <si>
    <t>竹内　俊一郎</t>
  </si>
  <si>
    <t>足利　裕人</t>
  </si>
  <si>
    <t xml:space="preserve"> スポnetなんぶ</t>
  </si>
  <si>
    <t xml:space="preserve">大村　満晴 </t>
  </si>
  <si>
    <t>田中　久夫</t>
  </si>
  <si>
    <t>西尾　幹</t>
  </si>
  <si>
    <t>ＬＴＣ河原</t>
  </si>
  <si>
    <t>松本　俊彦</t>
  </si>
  <si>
    <t>東富安クラブ</t>
  </si>
  <si>
    <t>平井　光一</t>
  </si>
  <si>
    <t xml:space="preserve">井上　和之　</t>
  </si>
  <si>
    <t>田中　一</t>
  </si>
  <si>
    <t>梶　松寿</t>
  </si>
  <si>
    <t>アスペック</t>
  </si>
  <si>
    <t xml:space="preserve">男子B級シングルス 　　 ２０２５年度　</t>
  </si>
  <si>
    <t>西島</t>
  </si>
  <si>
    <t>田中　達也</t>
  </si>
  <si>
    <t>宮根　拓海</t>
  </si>
  <si>
    <t>石川　和友</t>
  </si>
  <si>
    <t>山下　陽大</t>
  </si>
  <si>
    <t>中里　海</t>
  </si>
  <si>
    <t>松本　晄</t>
  </si>
  <si>
    <t>鳥取西高</t>
  </si>
  <si>
    <t xml:space="preserve">植松　帆次郎 </t>
  </si>
  <si>
    <t xml:space="preserve">境高 </t>
  </si>
  <si>
    <t>廣江　建生</t>
  </si>
  <si>
    <t>前畑　佑二</t>
  </si>
  <si>
    <t>鈴木　康生</t>
  </si>
  <si>
    <t>いそぎんちゃく同好会</t>
  </si>
  <si>
    <t>三宅　諒弥</t>
  </si>
  <si>
    <t>砂原　翔</t>
  </si>
  <si>
    <t>Ｏｆｆ</t>
  </si>
  <si>
    <t>外園　真都</t>
  </si>
  <si>
    <t>鳥取環境大</t>
  </si>
  <si>
    <t>澤田　怜穏</t>
  </si>
  <si>
    <t>種　頼政</t>
  </si>
  <si>
    <t>乾　聡太</t>
  </si>
  <si>
    <t>井嶋　勇翔</t>
  </si>
  <si>
    <t>平木　遼成</t>
  </si>
  <si>
    <t>田中　佑樹</t>
  </si>
  <si>
    <t>梶川　翔二</t>
  </si>
  <si>
    <t>大橋　隆弘</t>
  </si>
  <si>
    <t>山中　正樹</t>
  </si>
  <si>
    <t>流谷　快翔</t>
  </si>
  <si>
    <t xml:space="preserve">男子B級ダブルス　　　２０２５年度　</t>
  </si>
  <si>
    <t>山下　悠樹</t>
  </si>
  <si>
    <t>矢田貝　祥太</t>
  </si>
  <si>
    <t>戸杉　和博</t>
  </si>
  <si>
    <t>大原　煌希</t>
  </si>
  <si>
    <t>宮野 友暉</t>
  </si>
  <si>
    <t>作野　光</t>
  </si>
  <si>
    <t>平井　響</t>
  </si>
  <si>
    <t>田中　憲一</t>
  </si>
  <si>
    <t>ポップテニスプラス</t>
  </si>
  <si>
    <t>谷口　友章</t>
  </si>
  <si>
    <t>鳥取大学医学部</t>
  </si>
  <si>
    <t>久城 隼斗</t>
  </si>
  <si>
    <t>米子北斗中</t>
  </si>
  <si>
    <t>赤井　涉</t>
  </si>
  <si>
    <t>中村　伸一</t>
  </si>
  <si>
    <t>佐藤　崇弘</t>
  </si>
  <si>
    <t>押田　隆太郎</t>
  </si>
  <si>
    <t>チキンディナーズ</t>
  </si>
  <si>
    <t>西村　悠希</t>
  </si>
  <si>
    <t>戸苅　丈二</t>
  </si>
  <si>
    <t xml:space="preserve">中津　快成 </t>
  </si>
  <si>
    <t>加藤　大志</t>
  </si>
  <si>
    <t>玉木　慎也</t>
  </si>
  <si>
    <t xml:space="preserve">女子シングルス   　　２０２５年度　 </t>
  </si>
  <si>
    <t xml:space="preserve">川上　梨華　</t>
  </si>
  <si>
    <t>アポロTC</t>
  </si>
  <si>
    <t>赤井　優月</t>
  </si>
  <si>
    <t>間島　千紗都</t>
  </si>
  <si>
    <t>瀧川　澄代</t>
  </si>
  <si>
    <t>上原　心寧</t>
  </si>
  <si>
    <t>白男川　奏美</t>
  </si>
  <si>
    <t>ヒラケン</t>
  </si>
  <si>
    <t>佐々木　遥</t>
  </si>
  <si>
    <t>長川　朱美</t>
  </si>
  <si>
    <t>荒木　柚那</t>
  </si>
  <si>
    <t>観水庭こぜにや</t>
  </si>
  <si>
    <t>原 花楓</t>
  </si>
  <si>
    <t>米子高専</t>
  </si>
  <si>
    <t>大根花菜</t>
  </si>
  <si>
    <t>谷口　柚葉</t>
  </si>
  <si>
    <t>安井　舞桜</t>
  </si>
  <si>
    <t>廣江　志磨</t>
  </si>
  <si>
    <t>赤井　愛椛</t>
  </si>
  <si>
    <t>白石　風花</t>
  </si>
  <si>
    <t>宮本　果林</t>
  </si>
  <si>
    <t>阿部　美乃里</t>
  </si>
  <si>
    <t>川津　みどり</t>
  </si>
  <si>
    <t>上田　妙子</t>
  </si>
  <si>
    <t>久城　梨央</t>
  </si>
  <si>
    <t>女子ダブルス  ２０２５年度</t>
  </si>
  <si>
    <t>手嶋 有加理</t>
  </si>
  <si>
    <t>ちょっぱー</t>
  </si>
  <si>
    <t>細田 千亜紀</t>
  </si>
  <si>
    <t>NCS</t>
  </si>
  <si>
    <t>三浦 舞子</t>
  </si>
  <si>
    <t>楠瀬 翔子</t>
  </si>
  <si>
    <t>市川 朋子</t>
  </si>
  <si>
    <t>あみたま</t>
  </si>
  <si>
    <t>赤井 優月</t>
  </si>
  <si>
    <t>川上 梨華</t>
  </si>
  <si>
    <t>杉原 三奈</t>
  </si>
  <si>
    <t>ジュピター</t>
  </si>
  <si>
    <t>宮原 由起子</t>
  </si>
  <si>
    <t>小林 さえこ</t>
  </si>
  <si>
    <t>山形 邦子</t>
  </si>
  <si>
    <t>田園</t>
  </si>
  <si>
    <t>荒木 柚那</t>
  </si>
  <si>
    <t>内藤 由佳</t>
  </si>
  <si>
    <t>岩本 明美</t>
  </si>
  <si>
    <t>ＳＴＥＶＥ</t>
  </si>
  <si>
    <t>前田 みずほ</t>
  </si>
  <si>
    <t>瀧川 澄代</t>
  </si>
  <si>
    <t>前田 美由紀</t>
  </si>
  <si>
    <t>ラビット</t>
  </si>
  <si>
    <t>眞鍋 佳奈美</t>
  </si>
  <si>
    <t>松崎 莉央</t>
  </si>
  <si>
    <t>光武 香帆</t>
  </si>
  <si>
    <t>黒多 光代</t>
  </si>
  <si>
    <t>冨林　真悠花</t>
  </si>
  <si>
    <t>遊ポートＴＣ</t>
  </si>
  <si>
    <t>朝野 さおり</t>
  </si>
  <si>
    <t>朝倉 加世子</t>
  </si>
  <si>
    <t>藤原 綾香</t>
  </si>
  <si>
    <t>大谷 和歩</t>
  </si>
  <si>
    <t>NCT</t>
  </si>
  <si>
    <t>栗光　奈歩</t>
  </si>
  <si>
    <t>岡田　華子</t>
  </si>
  <si>
    <t>山根　啓子</t>
  </si>
  <si>
    <t>ロアゾブリュー</t>
  </si>
  <si>
    <t>奥野　眞由美</t>
  </si>
  <si>
    <t>吉田 由乃</t>
  </si>
  <si>
    <t>斉木 歩美</t>
  </si>
  <si>
    <t>遠藤 夏希</t>
  </si>
  <si>
    <t>大太 伸子</t>
  </si>
  <si>
    <t>桶谷 真奈</t>
  </si>
  <si>
    <t>鳥取東高</t>
  </si>
  <si>
    <t>渡辺 初</t>
  </si>
  <si>
    <t>山内 祥愛</t>
  </si>
  <si>
    <t>福山 実空</t>
  </si>
  <si>
    <t>笹原 あい子</t>
  </si>
  <si>
    <t>仲曽 真由美</t>
  </si>
  <si>
    <t>ＢＳＣ</t>
  </si>
  <si>
    <t>安倍 和子</t>
  </si>
  <si>
    <t>小河 和美</t>
  </si>
  <si>
    <t>Begins</t>
  </si>
  <si>
    <t>平石　柚稀</t>
  </si>
  <si>
    <t xml:space="preserve">久城　梨央 </t>
  </si>
  <si>
    <t>田中 みどり</t>
  </si>
  <si>
    <t>赤井 愛椛</t>
  </si>
  <si>
    <t>安達 那望</t>
  </si>
  <si>
    <t>米子高</t>
  </si>
  <si>
    <t>安井 舞桜</t>
  </si>
  <si>
    <t>阿部 美乃里</t>
  </si>
  <si>
    <t>渡邊 仁胡</t>
  </si>
  <si>
    <t xml:space="preserve">４５才以上女子ダブルス　　２０２５年度　</t>
  </si>
  <si>
    <t>鳥取室内</t>
  </si>
  <si>
    <t>小林　さえこ</t>
  </si>
  <si>
    <t>山形　邦子</t>
  </si>
  <si>
    <t>田園TC</t>
  </si>
  <si>
    <t>谷口　恵子</t>
  </si>
  <si>
    <t>Zone</t>
  </si>
  <si>
    <t>高木　美穗</t>
  </si>
  <si>
    <t>ラフ</t>
  </si>
  <si>
    <t>大田　陽子</t>
  </si>
  <si>
    <t>山本　桂</t>
  </si>
  <si>
    <t>山根　陽子</t>
  </si>
  <si>
    <t>ノーレット７</t>
  </si>
  <si>
    <t>山方　祥子</t>
  </si>
  <si>
    <t>鳥飼　明子</t>
  </si>
  <si>
    <t>網川　佐知子</t>
  </si>
  <si>
    <t>岡田　友子</t>
  </si>
  <si>
    <t>伊吹　優子</t>
  </si>
  <si>
    <t>田苗　真里</t>
  </si>
  <si>
    <t>山内　恵子</t>
  </si>
  <si>
    <t>谷口　圭子</t>
  </si>
  <si>
    <t>レイリー</t>
  </si>
  <si>
    <t>小見山　知</t>
  </si>
  <si>
    <t>長尾　和栄</t>
  </si>
  <si>
    <t xml:space="preserve">５５才以上女子ダブルス  　　２０２５年度　</t>
  </si>
  <si>
    <t xml:space="preserve">女子B級シングルス   　　２０２５年度　</t>
  </si>
  <si>
    <t>佐藤　陽子</t>
  </si>
  <si>
    <t>ウィード</t>
  </si>
  <si>
    <t>小椋　愛可</t>
  </si>
  <si>
    <t>足立　響</t>
  </si>
  <si>
    <t>坂本　花音</t>
  </si>
  <si>
    <t>大谷　唯月</t>
  </si>
  <si>
    <t xml:space="preserve">女子B級ダブルス  　　２０２５年度　</t>
  </si>
  <si>
    <t>桶谷　真奈</t>
  </si>
  <si>
    <t>山内　祥愛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</si>
</sst>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MS PGothic"/>
      <scheme val="minor"/>
    </font>
    <font>
      <sz val="14.0"/>
      <color rgb="FF000000"/>
      <name val="MS PGothic"/>
    </font>
    <font/>
    <font>
      <sz val="11.0"/>
      <color rgb="FF000000"/>
      <name val="MS PGothic"/>
    </font>
    <font>
      <color theme="1"/>
      <name val="MS PGothic"/>
      <scheme val="minor"/>
    </font>
    <font>
      <sz val="11.0"/>
      <color theme="1"/>
      <name val="MS PGothic"/>
    </font>
    <font>
      <sz val="11.0"/>
      <color rgb="FFFF0000"/>
      <name val="MS PGothic"/>
    </font>
    <font>
      <sz val="11.0"/>
      <color rgb="FF000000"/>
      <name val="&quot;MS PGothic&quot;"/>
    </font>
    <font>
      <sz val="14.0"/>
      <color rgb="FF000000"/>
      <name val="&quot;MS PGothic&quot;"/>
    </font>
    <font>
      <sz val="10.0"/>
      <color rgb="FF000000"/>
      <name val="MS PGothic"/>
    </font>
    <font>
      <sz val="7.0"/>
      <color rgb="FF000000"/>
      <name val="MS PGothic"/>
    </font>
    <font>
      <sz val="9.0"/>
      <color rgb="FF000000"/>
      <name val="MS PGothic"/>
    </font>
    <font>
      <sz val="8.0"/>
      <color rgb="FF000000"/>
      <name val="MS P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5" fillId="2" fontId="3" numFmtId="0" xfId="0" applyAlignment="1" applyBorder="1" applyFill="1" applyFont="1">
      <alignment horizontal="center" readingOrder="0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ill="1" applyFon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vertical="center"/>
    </xf>
    <xf borderId="5" fillId="4" fontId="3" numFmtId="0" xfId="0" applyAlignment="1" applyBorder="1" applyFill="1" applyFont="1">
      <alignment horizontal="center" shrinkToFit="0" vertical="center" wrapText="0"/>
    </xf>
    <xf borderId="8" fillId="5" fontId="3" numFmtId="0" xfId="0" applyAlignment="1" applyBorder="1" applyFill="1" applyFont="1">
      <alignment horizontal="left" readingOrder="0" shrinkToFit="0" vertical="center" wrapText="0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8" fillId="5" fontId="3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vertical="center"/>
    </xf>
    <xf borderId="14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7" fillId="0" fontId="5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vertical="center"/>
    </xf>
    <xf borderId="5" fillId="0" fontId="6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2" fontId="4" numFmtId="0" xfId="0" applyAlignment="1" applyFont="1">
      <alignment vertical="center"/>
    </xf>
    <xf borderId="6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5" fillId="5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readingOrder="0" shrinkToFit="0" vertical="center" wrapText="0"/>
    </xf>
    <xf borderId="7" fillId="0" fontId="7" numFmtId="0" xfId="0" applyAlignment="1" applyBorder="1" applyFont="1">
      <alignment shrinkToFit="0" vertical="center" wrapText="0"/>
    </xf>
    <xf borderId="12" fillId="0" fontId="7" numFmtId="0" xfId="0" applyAlignment="1" applyBorder="1" applyFont="1">
      <alignment horizontal="center" readingOrder="0" shrinkToFit="0" vertical="center" wrapText="0"/>
    </xf>
    <xf borderId="13" fillId="0" fontId="7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12" fillId="0" fontId="7" numFmtId="0" xfId="0" applyAlignment="1" applyBorder="1" applyFont="1">
      <alignment shrinkToFit="0" vertical="center" wrapText="0"/>
    </xf>
    <xf borderId="13" fillId="0" fontId="7" numFmtId="0" xfId="0" applyAlignment="1" applyBorder="1" applyFont="1">
      <alignment horizontal="right"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horizontal="right" readingOrder="0" shrinkToFit="0" vertical="center" wrapText="0"/>
    </xf>
    <xf borderId="5" fillId="2" fontId="7" numFmtId="0" xfId="0" applyAlignment="1" applyBorder="1" applyFont="1">
      <alignment horizontal="right" readingOrder="0" shrinkToFit="0" vertical="center" wrapText="0"/>
    </xf>
    <xf borderId="5" fillId="2" fontId="7" numFmtId="0" xfId="0" applyAlignment="1" applyBorder="1" applyFont="1">
      <alignment shrinkToFit="0" vertical="center" wrapText="0"/>
    </xf>
    <xf borderId="5" fillId="2" fontId="7" numFmtId="0" xfId="0" applyAlignment="1" applyBorder="1" applyFont="1">
      <alignment shrinkToFit="0" vertical="center" wrapText="0"/>
    </xf>
    <xf borderId="5" fillId="2" fontId="7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5" fillId="4" fontId="7" numFmtId="0" xfId="0" applyAlignment="1" applyBorder="1" applyFont="1">
      <alignment horizontal="center" shrinkToFit="0" vertical="center" wrapText="0"/>
    </xf>
    <xf borderId="6" fillId="2" fontId="7" numFmtId="0" xfId="0" applyAlignment="1" applyBorder="1" applyFont="1">
      <alignment horizontal="left" readingOrder="0" shrinkToFit="0" vertical="center" wrapText="0"/>
    </xf>
    <xf borderId="5" fillId="0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 vertical="center"/>
    </xf>
    <xf borderId="14" fillId="0" fontId="2" numFmtId="0" xfId="0" applyAlignment="1" applyBorder="1" applyFont="1">
      <alignment vertical="center"/>
    </xf>
    <xf borderId="5" fillId="0" fontId="9" numFmtId="0" xfId="0" applyAlignment="1" applyBorder="1" applyFont="1">
      <alignment horizontal="center" readingOrder="0" shrinkToFit="0" vertical="center" wrapText="0"/>
    </xf>
    <xf borderId="5" fillId="2" fontId="10" numFmtId="0" xfId="0" applyAlignment="1" applyBorder="1" applyFont="1">
      <alignment horizontal="center" readingOrder="0" shrinkToFit="0" vertical="center" wrapText="0"/>
    </xf>
    <xf borderId="5" fillId="2" fontId="7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vertical="center"/>
    </xf>
    <xf borderId="6" fillId="6" fontId="7" numFmtId="0" xfId="0" applyAlignment="1" applyBorder="1" applyFill="1" applyFont="1">
      <alignment horizontal="left" readingOrder="0" shrinkToFit="0" vertical="center" wrapText="0"/>
    </xf>
    <xf borderId="0" fillId="2" fontId="7" numFmtId="0" xfId="0" applyAlignment="1" applyFont="1">
      <alignment horizontal="left" readingOrder="0" shrinkToFit="0" vertical="center" wrapText="0"/>
    </xf>
    <xf borderId="15" fillId="0" fontId="3" numFmtId="0" xfId="0" applyAlignment="1" applyBorder="1" applyFont="1">
      <alignment shrinkToFit="0" vertical="center" wrapText="0"/>
    </xf>
    <xf borderId="5" fillId="5" fontId="3" numFmtId="0" xfId="0" applyAlignment="1" applyBorder="1" applyFont="1">
      <alignment readingOrder="0" shrinkToFit="0" vertical="center" wrapText="0"/>
    </xf>
    <xf borderId="5" fillId="5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1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5" fillId="2" fontId="3" numFmtId="0" xfId="0" applyAlignment="1" applyBorder="1" applyFont="1">
      <alignment horizontal="right" readingOrder="0" shrinkToFit="0" vertical="center" wrapText="0"/>
    </xf>
    <xf borderId="10" fillId="5" fontId="3" numFmtId="0" xfId="0" applyAlignment="1" applyBorder="1" applyFont="1">
      <alignment horizontal="left" shrinkToFit="0" vertical="center" wrapText="0"/>
    </xf>
    <xf borderId="5" fillId="0" fontId="1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readingOrder="0" shrinkToFit="0" vertical="center" wrapText="0"/>
    </xf>
    <xf borderId="5" fillId="2" fontId="5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center" readingOrder="0" shrinkToFit="0" vertical="center" wrapText="0"/>
    </xf>
    <xf borderId="5" fillId="2" fontId="7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right" readingOrder="0" shrinkToFit="0" vertical="center" wrapText="0"/>
    </xf>
    <xf borderId="5" fillId="4" fontId="7" numFmtId="0" xfId="0" applyAlignment="1" applyBorder="1" applyFont="1">
      <alignment horizontal="center" shrinkToFit="0" vertical="center" wrapText="0"/>
    </xf>
    <xf borderId="16" fillId="2" fontId="7" numFmtId="0" xfId="0" applyAlignment="1" applyBorder="1" applyFont="1">
      <alignment horizontal="left" readingOrder="0" shrinkToFit="0" vertical="center" wrapText="0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5" fillId="0" fontId="7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75"/>
    <col customWidth="1" min="3" max="3" width="12.38"/>
    <col customWidth="1" min="4" max="4" width="18.25"/>
    <col customWidth="1" min="5" max="5" width="5.25"/>
    <col customWidth="1" min="6" max="6" width="7.5"/>
    <col customWidth="1" min="7" max="7" width="7.13"/>
    <col customWidth="1" min="8" max="8" width="6.13"/>
    <col customWidth="1" min="9" max="10" width="7.5"/>
    <col customWidth="1" min="11" max="11" width="6.75"/>
    <col customWidth="1" min="12" max="12" width="7.5"/>
    <col customWidth="1" min="13" max="13" width="6.25"/>
    <col customWidth="1" min="14" max="17" width="7.5"/>
    <col customWidth="1" min="18" max="18" width="6.63"/>
    <col customWidth="1" min="19" max="19" width="6.38"/>
    <col customWidth="1" min="20" max="20" width="8.0"/>
  </cols>
  <sheetData>
    <row r="1" ht="16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2.75" customHeight="1">
      <c r="A2" s="3" t="s">
        <v>1</v>
      </c>
      <c r="B2" s="4"/>
      <c r="C2" s="5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7" t="s">
        <v>15</v>
      </c>
      <c r="Q2" s="8" t="s">
        <v>16</v>
      </c>
      <c r="R2" s="8" t="s">
        <v>17</v>
      </c>
      <c r="S2" s="9" t="s">
        <v>18</v>
      </c>
    </row>
    <row r="3" ht="15.75" customHeight="1">
      <c r="A3" s="10" t="str">
        <f t="shared" ref="A3:A77" si="1">IF(B3=B2,"T","")</f>
        <v/>
      </c>
      <c r="B3" s="11">
        <f t="shared" ref="B3:B76" si="2">RANK(E4,$E$4:$E$88,0)</f>
        <v>1</v>
      </c>
      <c r="C3" s="12" t="s">
        <v>19</v>
      </c>
      <c r="D3" s="12" t="s">
        <v>20</v>
      </c>
      <c r="E3" s="12">
        <f t="shared" ref="E3:E77" si="3">SUM(F3:S3)</f>
        <v>494</v>
      </c>
      <c r="F3" s="13"/>
      <c r="G3" s="13"/>
      <c r="H3" s="13"/>
      <c r="I3" s="13"/>
      <c r="J3" s="14">
        <v>77.0</v>
      </c>
      <c r="K3" s="13"/>
      <c r="L3" s="13"/>
      <c r="M3" s="14">
        <v>73.0</v>
      </c>
      <c r="N3" s="13"/>
      <c r="O3" s="14">
        <v>119.0</v>
      </c>
      <c r="P3" s="14">
        <v>43.0</v>
      </c>
      <c r="Q3" s="13"/>
      <c r="R3" s="14">
        <v>119.0</v>
      </c>
      <c r="S3" s="15">
        <v>63.0</v>
      </c>
    </row>
    <row r="4" ht="12.75" customHeight="1">
      <c r="A4" s="10" t="str">
        <f t="shared" si="1"/>
        <v/>
      </c>
      <c r="B4" s="11">
        <f t="shared" si="2"/>
        <v>2</v>
      </c>
      <c r="C4" s="12" t="s">
        <v>21</v>
      </c>
      <c r="D4" s="12" t="s">
        <v>22</v>
      </c>
      <c r="E4" s="12">
        <f t="shared" si="3"/>
        <v>476</v>
      </c>
      <c r="F4" s="14">
        <v>26.0</v>
      </c>
      <c r="G4" s="13"/>
      <c r="H4" s="13"/>
      <c r="I4" s="13"/>
      <c r="J4" s="14">
        <v>77.0</v>
      </c>
      <c r="K4" s="13"/>
      <c r="L4" s="13"/>
      <c r="M4" s="14">
        <v>203.0</v>
      </c>
      <c r="N4" s="13"/>
      <c r="O4" s="14">
        <v>170.0</v>
      </c>
      <c r="P4" s="13"/>
      <c r="Q4" s="13"/>
      <c r="R4" s="13"/>
      <c r="S4" s="15"/>
    </row>
    <row r="5" ht="12.75" customHeight="1">
      <c r="A5" s="10" t="str">
        <f t="shared" si="1"/>
        <v/>
      </c>
      <c r="B5" s="11">
        <f t="shared" si="2"/>
        <v>3</v>
      </c>
      <c r="C5" s="12" t="s">
        <v>23</v>
      </c>
      <c r="D5" s="12" t="s">
        <v>24</v>
      </c>
      <c r="E5" s="12">
        <f t="shared" si="3"/>
        <v>460</v>
      </c>
      <c r="F5" s="13"/>
      <c r="G5" s="13"/>
      <c r="H5" s="13"/>
      <c r="I5" s="13"/>
      <c r="J5" s="14">
        <v>170.0</v>
      </c>
      <c r="K5" s="13"/>
      <c r="L5" s="13"/>
      <c r="M5" s="14">
        <v>290.0</v>
      </c>
      <c r="N5" s="13"/>
      <c r="O5" s="13"/>
      <c r="P5" s="13"/>
      <c r="Q5" s="13"/>
      <c r="R5" s="13"/>
      <c r="S5" s="15"/>
    </row>
    <row r="6" ht="12.75" customHeight="1">
      <c r="A6" s="10" t="str">
        <f t="shared" si="1"/>
        <v/>
      </c>
      <c r="B6" s="11">
        <f t="shared" si="2"/>
        <v>4</v>
      </c>
      <c r="C6" s="12" t="s">
        <v>25</v>
      </c>
      <c r="D6" s="12" t="s">
        <v>26</v>
      </c>
      <c r="E6" s="12">
        <f t="shared" si="3"/>
        <v>330</v>
      </c>
      <c r="F6" s="13"/>
      <c r="G6" s="13"/>
      <c r="H6" s="13"/>
      <c r="I6" s="13"/>
      <c r="J6" s="14">
        <v>43.0</v>
      </c>
      <c r="K6" s="13"/>
      <c r="L6" s="14">
        <v>41.0</v>
      </c>
      <c r="M6" s="14">
        <v>44.0</v>
      </c>
      <c r="N6" s="13"/>
      <c r="O6" s="13"/>
      <c r="P6" s="13"/>
      <c r="Q6" s="14">
        <v>32.0</v>
      </c>
      <c r="R6" s="14">
        <v>170.0</v>
      </c>
      <c r="S6" s="15"/>
    </row>
    <row r="7" ht="12.75" customHeight="1">
      <c r="A7" s="10" t="str">
        <f t="shared" si="1"/>
        <v/>
      </c>
      <c r="B7" s="11">
        <f t="shared" si="2"/>
        <v>5</v>
      </c>
      <c r="C7" s="16" t="s">
        <v>27</v>
      </c>
      <c r="D7" s="16" t="s">
        <v>28</v>
      </c>
      <c r="E7" s="12">
        <f t="shared" si="3"/>
        <v>329</v>
      </c>
      <c r="F7" s="13"/>
      <c r="G7" s="13"/>
      <c r="H7" s="14">
        <v>26.0</v>
      </c>
      <c r="I7" s="13"/>
      <c r="J7" s="13"/>
      <c r="K7" s="13"/>
      <c r="L7" s="13"/>
      <c r="M7" s="13"/>
      <c r="N7" s="14">
        <v>90.0</v>
      </c>
      <c r="O7" s="13"/>
      <c r="P7" s="14">
        <v>170.0</v>
      </c>
      <c r="Q7" s="13"/>
      <c r="R7" s="14">
        <v>43.0</v>
      </c>
      <c r="S7" s="15"/>
    </row>
    <row r="8" ht="12.75" customHeight="1">
      <c r="A8" s="10" t="str">
        <f t="shared" si="1"/>
        <v/>
      </c>
      <c r="B8" s="11">
        <f t="shared" si="2"/>
        <v>6</v>
      </c>
      <c r="C8" s="12" t="s">
        <v>29</v>
      </c>
      <c r="D8" s="12" t="s">
        <v>30</v>
      </c>
      <c r="E8" s="12">
        <f t="shared" si="3"/>
        <v>291</v>
      </c>
      <c r="F8" s="13"/>
      <c r="G8" s="13"/>
      <c r="H8" s="13"/>
      <c r="I8" s="14">
        <v>41.0</v>
      </c>
      <c r="J8" s="14">
        <v>119.0</v>
      </c>
      <c r="K8" s="13"/>
      <c r="L8" s="13"/>
      <c r="M8" s="14">
        <v>131.0</v>
      </c>
      <c r="N8" s="13"/>
      <c r="O8" s="13"/>
      <c r="P8" s="13"/>
      <c r="Q8" s="13"/>
      <c r="R8" s="13"/>
      <c r="S8" s="15"/>
    </row>
    <row r="9" ht="12.75" customHeight="1">
      <c r="A9" s="10" t="str">
        <f t="shared" si="1"/>
        <v/>
      </c>
      <c r="B9" s="11">
        <f t="shared" si="2"/>
        <v>7</v>
      </c>
      <c r="C9" s="12" t="s">
        <v>31</v>
      </c>
      <c r="D9" s="12" t="s">
        <v>32</v>
      </c>
      <c r="E9" s="12">
        <f t="shared" si="3"/>
        <v>249</v>
      </c>
      <c r="F9" s="14">
        <v>3.0</v>
      </c>
      <c r="G9" s="14">
        <v>12.0</v>
      </c>
      <c r="H9" s="14">
        <v>18.0</v>
      </c>
      <c r="I9" s="13"/>
      <c r="J9" s="14">
        <v>26.0</v>
      </c>
      <c r="K9" s="13"/>
      <c r="L9" s="13"/>
      <c r="M9" s="14">
        <v>44.0</v>
      </c>
      <c r="N9" s="14">
        <v>23.0</v>
      </c>
      <c r="O9" s="14">
        <v>43.0</v>
      </c>
      <c r="P9" s="13"/>
      <c r="Q9" s="14">
        <v>14.0</v>
      </c>
      <c r="R9" s="14">
        <v>43.0</v>
      </c>
      <c r="S9" s="15">
        <v>23.0</v>
      </c>
    </row>
    <row r="10" ht="12.75" customHeight="1">
      <c r="A10" s="10" t="str">
        <f t="shared" si="1"/>
        <v/>
      </c>
      <c r="B10" s="11">
        <f t="shared" si="2"/>
        <v>8</v>
      </c>
      <c r="C10" s="12" t="s">
        <v>33</v>
      </c>
      <c r="D10" s="12" t="s">
        <v>34</v>
      </c>
      <c r="E10" s="12">
        <f t="shared" si="3"/>
        <v>232</v>
      </c>
      <c r="F10" s="13"/>
      <c r="G10" s="14">
        <v>26.0</v>
      </c>
      <c r="H10" s="13"/>
      <c r="I10" s="13"/>
      <c r="J10" s="14">
        <v>43.0</v>
      </c>
      <c r="K10" s="13"/>
      <c r="L10" s="14">
        <v>90.0</v>
      </c>
      <c r="M10" s="14">
        <v>73.0</v>
      </c>
      <c r="N10" s="13"/>
      <c r="O10" s="13"/>
      <c r="P10" s="13"/>
      <c r="Q10" s="13"/>
      <c r="R10" s="13"/>
      <c r="S10" s="15"/>
    </row>
    <row r="11" ht="12.75" customHeight="1">
      <c r="A11" s="10" t="str">
        <f t="shared" si="1"/>
        <v/>
      </c>
      <c r="B11" s="11">
        <f t="shared" si="2"/>
        <v>9</v>
      </c>
      <c r="C11" s="12" t="s">
        <v>35</v>
      </c>
      <c r="D11" s="12" t="s">
        <v>36</v>
      </c>
      <c r="E11" s="12">
        <f t="shared" si="3"/>
        <v>162</v>
      </c>
      <c r="F11" s="14">
        <v>12.0</v>
      </c>
      <c r="G11" s="13"/>
      <c r="H11" s="13"/>
      <c r="I11" s="14">
        <v>14.0</v>
      </c>
      <c r="J11" s="14">
        <v>26.0</v>
      </c>
      <c r="K11" s="13"/>
      <c r="L11" s="13"/>
      <c r="M11" s="13"/>
      <c r="N11" s="14">
        <v>41.0</v>
      </c>
      <c r="O11" s="14">
        <v>43.0</v>
      </c>
      <c r="P11" s="13"/>
      <c r="Q11" s="13"/>
      <c r="R11" s="14">
        <v>26.0</v>
      </c>
      <c r="S11" s="15"/>
    </row>
    <row r="12" ht="12.75" customHeight="1">
      <c r="A12" s="10" t="str">
        <f t="shared" si="1"/>
        <v/>
      </c>
      <c r="B12" s="11">
        <f t="shared" si="2"/>
        <v>10</v>
      </c>
      <c r="C12" s="12" t="s">
        <v>37</v>
      </c>
      <c r="D12" s="12" t="s">
        <v>26</v>
      </c>
      <c r="E12" s="12">
        <f t="shared" si="3"/>
        <v>152</v>
      </c>
      <c r="F12" s="14">
        <v>3.0</v>
      </c>
      <c r="G12" s="14">
        <v>3.0</v>
      </c>
      <c r="H12" s="13"/>
      <c r="I12" s="13"/>
      <c r="J12" s="13"/>
      <c r="K12" s="14">
        <v>8.0</v>
      </c>
      <c r="L12" s="13"/>
      <c r="M12" s="14">
        <v>44.0</v>
      </c>
      <c r="N12" s="13"/>
      <c r="O12" s="14">
        <v>43.0</v>
      </c>
      <c r="P12" s="13"/>
      <c r="Q12" s="14">
        <v>8.0</v>
      </c>
      <c r="R12" s="14">
        <v>43.0</v>
      </c>
      <c r="S12" s="15"/>
    </row>
    <row r="13" ht="12.75" customHeight="1">
      <c r="A13" s="10" t="str">
        <f t="shared" si="1"/>
        <v/>
      </c>
      <c r="B13" s="11">
        <f t="shared" si="2"/>
        <v>11</v>
      </c>
      <c r="C13" s="12" t="s">
        <v>38</v>
      </c>
      <c r="D13" s="12" t="s">
        <v>36</v>
      </c>
      <c r="E13" s="12">
        <f t="shared" si="3"/>
        <v>146</v>
      </c>
      <c r="F13" s="14">
        <v>7.0</v>
      </c>
      <c r="G13" s="13"/>
      <c r="H13" s="13"/>
      <c r="I13" s="13"/>
      <c r="J13" s="14">
        <v>26.0</v>
      </c>
      <c r="K13" s="14">
        <v>32.0</v>
      </c>
      <c r="L13" s="14">
        <v>23.0</v>
      </c>
      <c r="M13" s="14">
        <v>44.0</v>
      </c>
      <c r="N13" s="13"/>
      <c r="O13" s="13"/>
      <c r="P13" s="13"/>
      <c r="Q13" s="14">
        <v>14.0</v>
      </c>
      <c r="R13" s="13"/>
      <c r="S13" s="15"/>
    </row>
    <row r="14" ht="12.75" customHeight="1">
      <c r="A14" s="10" t="str">
        <f t="shared" si="1"/>
        <v/>
      </c>
      <c r="B14" s="11">
        <f t="shared" si="2"/>
        <v>12</v>
      </c>
      <c r="C14" s="12" t="s">
        <v>39</v>
      </c>
      <c r="D14" s="12" t="s">
        <v>32</v>
      </c>
      <c r="E14" s="12">
        <f t="shared" si="3"/>
        <v>142</v>
      </c>
      <c r="F14" s="13"/>
      <c r="G14" s="13"/>
      <c r="H14" s="14">
        <v>7.0</v>
      </c>
      <c r="I14" s="13"/>
      <c r="J14" s="13"/>
      <c r="K14" s="13"/>
      <c r="L14" s="13"/>
      <c r="M14" s="14">
        <v>44.0</v>
      </c>
      <c r="N14" s="13"/>
      <c r="O14" s="14">
        <v>14.0</v>
      </c>
      <c r="P14" s="13"/>
      <c r="Q14" s="13"/>
      <c r="R14" s="14">
        <v>77.0</v>
      </c>
      <c r="S14" s="15"/>
    </row>
    <row r="15" ht="12.75" customHeight="1">
      <c r="A15" s="10" t="str">
        <f t="shared" si="1"/>
        <v/>
      </c>
      <c r="B15" s="11">
        <f t="shared" si="2"/>
        <v>13</v>
      </c>
      <c r="C15" s="12" t="s">
        <v>40</v>
      </c>
      <c r="D15" s="12" t="s">
        <v>41</v>
      </c>
      <c r="E15" s="12">
        <f t="shared" si="3"/>
        <v>139</v>
      </c>
      <c r="F15" s="13"/>
      <c r="G15" s="14"/>
      <c r="H15" s="13"/>
      <c r="I15" s="14">
        <v>14.0</v>
      </c>
      <c r="J15" s="14">
        <v>43.0</v>
      </c>
      <c r="K15" s="13"/>
      <c r="L15" s="14">
        <v>41.0</v>
      </c>
      <c r="M15" s="13"/>
      <c r="N15" s="13"/>
      <c r="O15" s="13"/>
      <c r="P15" s="13"/>
      <c r="Q15" s="13"/>
      <c r="R15" s="13"/>
      <c r="S15" s="15">
        <v>41.0</v>
      </c>
    </row>
    <row r="16" ht="12.75" customHeight="1">
      <c r="A16" s="10" t="str">
        <f t="shared" si="1"/>
        <v/>
      </c>
      <c r="B16" s="11">
        <f t="shared" si="2"/>
        <v>14</v>
      </c>
      <c r="C16" s="16" t="s">
        <v>42</v>
      </c>
      <c r="D16" s="16" t="s">
        <v>43</v>
      </c>
      <c r="E16" s="12">
        <f t="shared" si="3"/>
        <v>131</v>
      </c>
      <c r="F16" s="13"/>
      <c r="G16" s="13"/>
      <c r="H16" s="13"/>
      <c r="I16" s="13"/>
      <c r="J16" s="13"/>
      <c r="K16" s="13"/>
      <c r="L16" s="13"/>
      <c r="M16" s="14">
        <v>131.0</v>
      </c>
      <c r="N16" s="13"/>
      <c r="O16" s="13"/>
      <c r="P16" s="13"/>
      <c r="Q16" s="13"/>
      <c r="R16" s="13"/>
      <c r="S16" s="15"/>
    </row>
    <row r="17" ht="12.75" customHeight="1">
      <c r="A17" s="10" t="str">
        <f t="shared" si="1"/>
        <v/>
      </c>
      <c r="B17" s="11">
        <f t="shared" si="2"/>
        <v>15</v>
      </c>
      <c r="C17" s="12" t="s">
        <v>44</v>
      </c>
      <c r="D17" s="12" t="s">
        <v>45</v>
      </c>
      <c r="E17" s="12">
        <f t="shared" si="3"/>
        <v>124</v>
      </c>
      <c r="F17" s="14">
        <v>3.0</v>
      </c>
      <c r="G17" s="13"/>
      <c r="H17" s="13"/>
      <c r="I17" s="13"/>
      <c r="J17" s="13"/>
      <c r="K17" s="13"/>
      <c r="L17" s="13"/>
      <c r="M17" s="14">
        <v>44.0</v>
      </c>
      <c r="N17" s="13"/>
      <c r="O17" s="14">
        <v>77.0</v>
      </c>
      <c r="P17" s="13"/>
      <c r="Q17" s="13"/>
      <c r="R17" s="13"/>
      <c r="S17" s="15"/>
    </row>
    <row r="18" ht="12.75" customHeight="1">
      <c r="A18" s="10" t="str">
        <f t="shared" si="1"/>
        <v/>
      </c>
      <c r="B18" s="11">
        <f t="shared" si="2"/>
        <v>16</v>
      </c>
      <c r="C18" s="16" t="s">
        <v>46</v>
      </c>
      <c r="D18" s="12" t="s">
        <v>47</v>
      </c>
      <c r="E18" s="12">
        <f t="shared" si="3"/>
        <v>117</v>
      </c>
      <c r="F18" s="14">
        <v>3.0</v>
      </c>
      <c r="G18" s="14">
        <v>12.0</v>
      </c>
      <c r="H18" s="13"/>
      <c r="I18" s="13"/>
      <c r="J18" s="13"/>
      <c r="K18" s="14">
        <v>22.0</v>
      </c>
      <c r="L18" s="13"/>
      <c r="M18" s="13"/>
      <c r="N18" s="14">
        <v>23.0</v>
      </c>
      <c r="O18" s="13"/>
      <c r="P18" s="13"/>
      <c r="Q18" s="13"/>
      <c r="R18" s="14">
        <v>43.0</v>
      </c>
      <c r="S18" s="15">
        <v>14.0</v>
      </c>
    </row>
    <row r="19" ht="12.75" customHeight="1">
      <c r="A19" s="10" t="str">
        <f t="shared" si="1"/>
        <v/>
      </c>
      <c r="B19" s="11">
        <f t="shared" si="2"/>
        <v>17</v>
      </c>
      <c r="C19" s="12" t="s">
        <v>48</v>
      </c>
      <c r="D19" s="12" t="s">
        <v>49</v>
      </c>
      <c r="E19" s="12">
        <f t="shared" si="3"/>
        <v>107</v>
      </c>
      <c r="F19" s="13"/>
      <c r="G19" s="13"/>
      <c r="H19" s="13"/>
      <c r="I19" s="13"/>
      <c r="J19" s="13"/>
      <c r="K19" s="13"/>
      <c r="L19" s="14">
        <v>63.0</v>
      </c>
      <c r="M19" s="14">
        <v>44.0</v>
      </c>
      <c r="N19" s="13"/>
      <c r="O19" s="13"/>
      <c r="P19" s="13"/>
      <c r="Q19" s="13"/>
      <c r="R19" s="13"/>
      <c r="S19" s="15"/>
    </row>
    <row r="20" ht="12.75" customHeight="1">
      <c r="A20" s="10" t="str">
        <f t="shared" si="1"/>
        <v/>
      </c>
      <c r="B20" s="11">
        <f t="shared" si="2"/>
        <v>18</v>
      </c>
      <c r="C20" s="12" t="s">
        <v>50</v>
      </c>
      <c r="D20" s="12" t="s">
        <v>51</v>
      </c>
      <c r="E20" s="12">
        <f t="shared" si="3"/>
        <v>96</v>
      </c>
      <c r="F20" s="13"/>
      <c r="G20" s="13"/>
      <c r="H20" s="14">
        <v>7.0</v>
      </c>
      <c r="I20" s="13"/>
      <c r="J20" s="13"/>
      <c r="K20" s="13"/>
      <c r="L20" s="13"/>
      <c r="M20" s="13"/>
      <c r="N20" s="14">
        <v>63.0</v>
      </c>
      <c r="O20" s="14">
        <v>26.0</v>
      </c>
      <c r="P20" s="13"/>
      <c r="Q20" s="13"/>
      <c r="R20" s="13"/>
      <c r="S20" s="15"/>
    </row>
    <row r="21" ht="12.75" customHeight="1">
      <c r="A21" s="10" t="str">
        <f t="shared" si="1"/>
        <v/>
      </c>
      <c r="B21" s="11">
        <f t="shared" si="2"/>
        <v>19</v>
      </c>
      <c r="C21" s="12" t="s">
        <v>52</v>
      </c>
      <c r="D21" s="12" t="s">
        <v>53</v>
      </c>
      <c r="E21" s="12">
        <f t="shared" si="3"/>
        <v>95</v>
      </c>
      <c r="F21" s="13"/>
      <c r="G21" s="13"/>
      <c r="H21" s="13"/>
      <c r="I21" s="13"/>
      <c r="J21" s="13"/>
      <c r="K21" s="13"/>
      <c r="L21" s="13"/>
      <c r="M21" s="14">
        <v>73.0</v>
      </c>
      <c r="N21" s="13"/>
      <c r="O21" s="13"/>
      <c r="P21" s="13"/>
      <c r="Q21" s="14">
        <v>22.0</v>
      </c>
      <c r="R21" s="13"/>
      <c r="S21" s="15"/>
    </row>
    <row r="22" ht="12.75" customHeight="1">
      <c r="A22" s="10" t="str">
        <f t="shared" si="1"/>
        <v/>
      </c>
      <c r="B22" s="11">
        <f t="shared" si="2"/>
        <v>20</v>
      </c>
      <c r="C22" s="16" t="s">
        <v>54</v>
      </c>
      <c r="D22" s="16" t="s">
        <v>55</v>
      </c>
      <c r="E22" s="12">
        <f t="shared" si="3"/>
        <v>93</v>
      </c>
      <c r="F22" s="13"/>
      <c r="G22" s="13"/>
      <c r="H22" s="13"/>
      <c r="I22" s="13"/>
      <c r="J22" s="13"/>
      <c r="K22" s="13"/>
      <c r="L22" s="13"/>
      <c r="M22" s="14">
        <v>24.0</v>
      </c>
      <c r="N22" s="13"/>
      <c r="O22" s="14">
        <v>43.0</v>
      </c>
      <c r="P22" s="14">
        <v>26.0</v>
      </c>
      <c r="Q22" s="13"/>
      <c r="R22" s="13"/>
      <c r="S22" s="15"/>
    </row>
    <row r="23" ht="12.75" customHeight="1">
      <c r="A23" s="10" t="str">
        <f t="shared" si="1"/>
        <v/>
      </c>
      <c r="B23" s="11">
        <f t="shared" si="2"/>
        <v>21</v>
      </c>
      <c r="C23" s="12" t="s">
        <v>56</v>
      </c>
      <c r="D23" s="12" t="s">
        <v>57</v>
      </c>
      <c r="E23" s="12">
        <f t="shared" si="3"/>
        <v>85</v>
      </c>
      <c r="F23" s="14">
        <v>18.0</v>
      </c>
      <c r="G23" s="13"/>
      <c r="H23" s="13"/>
      <c r="I23" s="13"/>
      <c r="J23" s="14">
        <v>26.0</v>
      </c>
      <c r="K23" s="13"/>
      <c r="L23" s="13"/>
      <c r="M23" s="13"/>
      <c r="N23" s="14">
        <v>41.0</v>
      </c>
      <c r="O23" s="13"/>
      <c r="P23" s="13"/>
      <c r="Q23" s="13"/>
      <c r="R23" s="13"/>
      <c r="S23" s="15"/>
    </row>
    <row r="24" ht="12.75" customHeight="1">
      <c r="A24" s="10" t="str">
        <f t="shared" si="1"/>
        <v/>
      </c>
      <c r="B24" s="11">
        <f t="shared" si="2"/>
        <v>22</v>
      </c>
      <c r="C24" s="12" t="s">
        <v>58</v>
      </c>
      <c r="D24" s="12" t="s">
        <v>45</v>
      </c>
      <c r="E24" s="12">
        <f t="shared" si="3"/>
        <v>84</v>
      </c>
      <c r="F24" s="14">
        <v>7.0</v>
      </c>
      <c r="G24" s="13"/>
      <c r="H24" s="13"/>
      <c r="I24" s="13"/>
      <c r="J24" s="13"/>
      <c r="K24" s="13"/>
      <c r="L24" s="13"/>
      <c r="M24" s="13"/>
      <c r="N24" s="13"/>
      <c r="O24" s="14">
        <v>77.0</v>
      </c>
      <c r="P24" s="13"/>
      <c r="Q24" s="13"/>
      <c r="R24" s="13"/>
      <c r="S24" s="15"/>
    </row>
    <row r="25" ht="12.75" customHeight="1">
      <c r="A25" s="10" t="str">
        <f t="shared" si="1"/>
        <v/>
      </c>
      <c r="B25" s="11">
        <f t="shared" si="2"/>
        <v>23</v>
      </c>
      <c r="C25" s="16" t="s">
        <v>59</v>
      </c>
      <c r="D25" s="16" t="s">
        <v>34</v>
      </c>
      <c r="E25" s="12">
        <f t="shared" si="3"/>
        <v>81</v>
      </c>
      <c r="F25" s="13"/>
      <c r="G25" s="13"/>
      <c r="H25" s="13"/>
      <c r="I25" s="13"/>
      <c r="J25" s="14">
        <v>26.0</v>
      </c>
      <c r="K25" s="13"/>
      <c r="L25" s="14">
        <v>23.0</v>
      </c>
      <c r="M25" s="14">
        <v>24.0</v>
      </c>
      <c r="N25" s="13"/>
      <c r="O25" s="13"/>
      <c r="P25" s="13"/>
      <c r="Q25" s="14">
        <v>8.0</v>
      </c>
      <c r="R25" s="13"/>
      <c r="S25" s="15"/>
    </row>
    <row r="26" ht="12.75" customHeight="1">
      <c r="A26" s="10" t="str">
        <f t="shared" si="1"/>
        <v/>
      </c>
      <c r="B26" s="11">
        <f t="shared" si="2"/>
        <v>24</v>
      </c>
      <c r="C26" s="12" t="s">
        <v>60</v>
      </c>
      <c r="D26" s="12" t="s">
        <v>61</v>
      </c>
      <c r="E26" s="12">
        <f t="shared" si="3"/>
        <v>77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>
        <v>77.0</v>
      </c>
      <c r="S26" s="15"/>
    </row>
    <row r="27" ht="12.75" customHeight="1">
      <c r="A27" s="10" t="str">
        <f t="shared" si="1"/>
        <v/>
      </c>
      <c r="B27" s="11">
        <f t="shared" si="2"/>
        <v>25</v>
      </c>
      <c r="C27" s="12" t="s">
        <v>62</v>
      </c>
      <c r="D27" s="12" t="s">
        <v>63</v>
      </c>
      <c r="E27" s="12">
        <f t="shared" si="3"/>
        <v>75</v>
      </c>
      <c r="F27" s="13"/>
      <c r="G27" s="13"/>
      <c r="H27" s="14">
        <v>12.0</v>
      </c>
      <c r="I27" s="13"/>
      <c r="J27" s="13"/>
      <c r="K27" s="13"/>
      <c r="L27" s="14">
        <v>23.0</v>
      </c>
      <c r="M27" s="13"/>
      <c r="N27" s="13"/>
      <c r="O27" s="13"/>
      <c r="P27" s="13"/>
      <c r="Q27" s="13"/>
      <c r="R27" s="14">
        <v>26.0</v>
      </c>
      <c r="S27" s="15">
        <v>14.0</v>
      </c>
    </row>
    <row r="28" ht="12.75" customHeight="1">
      <c r="A28" s="10" t="str">
        <f t="shared" si="1"/>
        <v/>
      </c>
      <c r="B28" s="11">
        <f t="shared" si="2"/>
        <v>26</v>
      </c>
      <c r="C28" s="16" t="s">
        <v>64</v>
      </c>
      <c r="D28" s="12" t="s">
        <v>65</v>
      </c>
      <c r="E28" s="12">
        <f t="shared" si="3"/>
        <v>73</v>
      </c>
      <c r="F28" s="13"/>
      <c r="G28" s="13"/>
      <c r="H28" s="13"/>
      <c r="I28" s="13"/>
      <c r="J28" s="13"/>
      <c r="K28" s="13"/>
      <c r="L28" s="13"/>
      <c r="M28" s="14">
        <v>73.0</v>
      </c>
      <c r="N28" s="13"/>
      <c r="O28" s="13"/>
      <c r="P28" s="13"/>
      <c r="Q28" s="13"/>
      <c r="R28" s="13"/>
      <c r="S28" s="15"/>
    </row>
    <row r="29" ht="12.75" customHeight="1">
      <c r="A29" s="10" t="str">
        <f t="shared" si="1"/>
        <v/>
      </c>
      <c r="B29" s="11">
        <f t="shared" si="2"/>
        <v>27</v>
      </c>
      <c r="C29" s="16" t="s">
        <v>66</v>
      </c>
      <c r="D29" s="16" t="s">
        <v>24</v>
      </c>
      <c r="E29" s="12">
        <f t="shared" si="3"/>
        <v>66</v>
      </c>
      <c r="F29" s="13"/>
      <c r="G29" s="13"/>
      <c r="H29" s="13"/>
      <c r="I29" s="14">
        <v>23.0</v>
      </c>
      <c r="J29" s="14">
        <v>43.0</v>
      </c>
      <c r="K29" s="13"/>
      <c r="L29" s="13"/>
      <c r="M29" s="13"/>
      <c r="N29" s="13"/>
      <c r="O29" s="13"/>
      <c r="P29" s="13"/>
      <c r="Q29" s="13"/>
      <c r="R29" s="13"/>
      <c r="S29" s="15"/>
    </row>
    <row r="30" ht="12.75" customHeight="1">
      <c r="A30" s="10" t="str">
        <f t="shared" si="1"/>
        <v>T</v>
      </c>
      <c r="B30" s="11">
        <f t="shared" si="2"/>
        <v>27</v>
      </c>
      <c r="C30" s="12" t="s">
        <v>67</v>
      </c>
      <c r="D30" s="12" t="s">
        <v>68</v>
      </c>
      <c r="E30" s="12">
        <f t="shared" si="3"/>
        <v>63</v>
      </c>
      <c r="F30" s="13"/>
      <c r="G30" s="13"/>
      <c r="H30" s="13"/>
      <c r="I30" s="14">
        <v>63.0</v>
      </c>
      <c r="J30" s="13"/>
      <c r="K30" s="13"/>
      <c r="L30" s="13"/>
      <c r="M30" s="13"/>
      <c r="N30" s="13"/>
      <c r="O30" s="13"/>
      <c r="P30" s="13"/>
      <c r="Q30" s="13"/>
      <c r="R30" s="13"/>
      <c r="S30" s="15"/>
    </row>
    <row r="31" ht="12.75" customHeight="1">
      <c r="A31" s="10" t="str">
        <f t="shared" si="1"/>
        <v/>
      </c>
      <c r="B31" s="11">
        <f t="shared" si="2"/>
        <v>29</v>
      </c>
      <c r="C31" s="12" t="s">
        <v>69</v>
      </c>
      <c r="D31" s="12" t="s">
        <v>70</v>
      </c>
      <c r="E31" s="12">
        <f t="shared" si="3"/>
        <v>63</v>
      </c>
      <c r="F31" s="13"/>
      <c r="G31" s="14">
        <v>3.0</v>
      </c>
      <c r="H31" s="13"/>
      <c r="I31" s="13"/>
      <c r="J31" s="13"/>
      <c r="K31" s="14">
        <v>14.0</v>
      </c>
      <c r="L31" s="13"/>
      <c r="M31" s="14">
        <v>24.0</v>
      </c>
      <c r="N31" s="13"/>
      <c r="O31" s="13"/>
      <c r="P31" s="13"/>
      <c r="Q31" s="14">
        <v>8.0</v>
      </c>
      <c r="R31" s="13"/>
      <c r="S31" s="15">
        <v>14.0</v>
      </c>
    </row>
    <row r="32" ht="12.75" customHeight="1">
      <c r="A32" s="10" t="str">
        <f t="shared" si="1"/>
        <v/>
      </c>
      <c r="B32" s="11">
        <f t="shared" si="2"/>
        <v>30</v>
      </c>
      <c r="C32" s="12" t="s">
        <v>71</v>
      </c>
      <c r="D32" s="12" t="s">
        <v>32</v>
      </c>
      <c r="E32" s="12">
        <f t="shared" si="3"/>
        <v>62</v>
      </c>
      <c r="F32" s="13"/>
      <c r="G32" s="13"/>
      <c r="H32" s="14">
        <v>12.0</v>
      </c>
      <c r="I32" s="13"/>
      <c r="J32" s="13"/>
      <c r="K32" s="13"/>
      <c r="L32" s="13"/>
      <c r="M32" s="14">
        <v>24.0</v>
      </c>
      <c r="N32" s="13"/>
      <c r="O32" s="14">
        <v>26.0</v>
      </c>
      <c r="P32" s="13"/>
      <c r="Q32" s="13"/>
      <c r="R32" s="13"/>
      <c r="S32" s="15"/>
    </row>
    <row r="33" ht="12.75" customHeight="1">
      <c r="A33" s="10" t="str">
        <f t="shared" si="1"/>
        <v/>
      </c>
      <c r="B33" s="11">
        <f t="shared" si="2"/>
        <v>31</v>
      </c>
      <c r="C33" s="12" t="s">
        <v>72</v>
      </c>
      <c r="D33" s="12" t="s">
        <v>34</v>
      </c>
      <c r="E33" s="12">
        <f t="shared" si="3"/>
        <v>58</v>
      </c>
      <c r="F33" s="13"/>
      <c r="G33" s="13"/>
      <c r="H33" s="13"/>
      <c r="I33" s="13"/>
      <c r="J33" s="13"/>
      <c r="K33" s="13"/>
      <c r="L33" s="14">
        <v>14.0</v>
      </c>
      <c r="M33" s="14">
        <v>44.0</v>
      </c>
      <c r="N33" s="13"/>
      <c r="O33" s="13"/>
      <c r="P33" s="13"/>
      <c r="Q33" s="13"/>
      <c r="R33" s="13"/>
      <c r="S33" s="15"/>
    </row>
    <row r="34" ht="12.75" customHeight="1">
      <c r="A34" s="10" t="str">
        <f t="shared" si="1"/>
        <v/>
      </c>
      <c r="B34" s="11">
        <f t="shared" si="2"/>
        <v>32</v>
      </c>
      <c r="C34" s="12" t="s">
        <v>73</v>
      </c>
      <c r="D34" s="12" t="s">
        <v>32</v>
      </c>
      <c r="E34" s="12">
        <f t="shared" si="3"/>
        <v>57</v>
      </c>
      <c r="F34" s="13"/>
      <c r="G34" s="13"/>
      <c r="H34" s="14">
        <v>7.0</v>
      </c>
      <c r="I34" s="13"/>
      <c r="J34" s="13"/>
      <c r="K34" s="13"/>
      <c r="L34" s="13"/>
      <c r="M34" s="14">
        <v>24.0</v>
      </c>
      <c r="N34" s="13"/>
      <c r="O34" s="13"/>
      <c r="P34" s="13"/>
      <c r="Q34" s="13"/>
      <c r="R34" s="14">
        <v>26.0</v>
      </c>
      <c r="S34" s="15"/>
    </row>
    <row r="35" ht="12.75" customHeight="1">
      <c r="A35" s="10" t="str">
        <f t="shared" si="1"/>
        <v/>
      </c>
      <c r="B35" s="11">
        <f t="shared" si="2"/>
        <v>33</v>
      </c>
      <c r="C35" s="12" t="s">
        <v>74</v>
      </c>
      <c r="D35" s="12" t="s">
        <v>32</v>
      </c>
      <c r="E35" s="12">
        <f t="shared" si="3"/>
        <v>55</v>
      </c>
      <c r="F35" s="13"/>
      <c r="G35" s="13"/>
      <c r="H35" s="14">
        <v>3.0</v>
      </c>
      <c r="I35" s="13"/>
      <c r="J35" s="13"/>
      <c r="K35" s="13"/>
      <c r="L35" s="13"/>
      <c r="M35" s="13"/>
      <c r="N35" s="13"/>
      <c r="O35" s="14">
        <v>26.0</v>
      </c>
      <c r="P35" s="13"/>
      <c r="Q35" s="13"/>
      <c r="R35" s="14">
        <v>26.0</v>
      </c>
      <c r="S35" s="15"/>
    </row>
    <row r="36" ht="12.75" customHeight="1">
      <c r="A36" s="10" t="str">
        <f t="shared" si="1"/>
        <v/>
      </c>
      <c r="B36" s="11">
        <f t="shared" si="2"/>
        <v>34</v>
      </c>
      <c r="C36" s="12" t="s">
        <v>75</v>
      </c>
      <c r="D36" s="16" t="s">
        <v>76</v>
      </c>
      <c r="E36" s="12">
        <f t="shared" si="3"/>
        <v>54</v>
      </c>
      <c r="F36" s="13"/>
      <c r="G36" s="14">
        <v>7.0</v>
      </c>
      <c r="H36" s="14">
        <v>7.0</v>
      </c>
      <c r="I36" s="13"/>
      <c r="J36" s="13"/>
      <c r="K36" s="13"/>
      <c r="L36" s="13"/>
      <c r="M36" s="13"/>
      <c r="N36" s="13"/>
      <c r="O36" s="14">
        <v>14.0</v>
      </c>
      <c r="P36" s="13"/>
      <c r="Q36" s="13"/>
      <c r="R36" s="14">
        <v>26.0</v>
      </c>
      <c r="S36" s="15"/>
    </row>
    <row r="37" ht="12.75" customHeight="1">
      <c r="A37" s="10" t="str">
        <f t="shared" si="1"/>
        <v/>
      </c>
      <c r="B37" s="11">
        <f t="shared" si="2"/>
        <v>35</v>
      </c>
      <c r="C37" s="12" t="s">
        <v>77</v>
      </c>
      <c r="D37" s="12" t="s">
        <v>32</v>
      </c>
      <c r="E37" s="12">
        <f t="shared" si="3"/>
        <v>53</v>
      </c>
      <c r="F37" s="13"/>
      <c r="G37" s="13"/>
      <c r="H37" s="14">
        <v>3.0</v>
      </c>
      <c r="I37" s="13"/>
      <c r="J37" s="13"/>
      <c r="K37" s="13"/>
      <c r="L37" s="13"/>
      <c r="M37" s="14">
        <v>24.0</v>
      </c>
      <c r="N37" s="13"/>
      <c r="O37" s="14">
        <v>26.0</v>
      </c>
      <c r="P37" s="13"/>
      <c r="Q37" s="13"/>
      <c r="R37" s="13"/>
      <c r="S37" s="15"/>
    </row>
    <row r="38" ht="12.75" customHeight="1">
      <c r="A38" s="10" t="str">
        <f t="shared" si="1"/>
        <v/>
      </c>
      <c r="B38" s="11">
        <f t="shared" si="2"/>
        <v>36</v>
      </c>
      <c r="C38" s="12" t="s">
        <v>78</v>
      </c>
      <c r="D38" s="16" t="s">
        <v>36</v>
      </c>
      <c r="E38" s="12">
        <f t="shared" si="3"/>
        <v>50</v>
      </c>
      <c r="F38" s="14">
        <v>12.0</v>
      </c>
      <c r="G38" s="13"/>
      <c r="H38" s="13"/>
      <c r="I38" s="13"/>
      <c r="J38" s="13"/>
      <c r="K38" s="13"/>
      <c r="L38" s="14">
        <v>14.0</v>
      </c>
      <c r="M38" s="14">
        <v>24.0</v>
      </c>
      <c r="N38" s="13"/>
      <c r="O38" s="14"/>
      <c r="P38" s="13"/>
      <c r="Q38" s="13"/>
      <c r="R38" s="13"/>
      <c r="S38" s="15"/>
    </row>
    <row r="39" ht="12.75" customHeight="1">
      <c r="A39" s="10" t="str">
        <f t="shared" si="1"/>
        <v/>
      </c>
      <c r="B39" s="11">
        <f t="shared" si="2"/>
        <v>37</v>
      </c>
      <c r="C39" s="16" t="s">
        <v>79</v>
      </c>
      <c r="D39" s="16" t="s">
        <v>80</v>
      </c>
      <c r="E39" s="12">
        <f t="shared" si="3"/>
        <v>49</v>
      </c>
      <c r="F39" s="13"/>
      <c r="G39" s="13"/>
      <c r="H39" s="13"/>
      <c r="I39" s="13"/>
      <c r="J39" s="13"/>
      <c r="K39" s="13"/>
      <c r="L39" s="13"/>
      <c r="M39" s="13"/>
      <c r="N39" s="14">
        <v>23.0</v>
      </c>
      <c r="O39" s="13"/>
      <c r="P39" s="13"/>
      <c r="Q39" s="13"/>
      <c r="R39" s="14">
        <v>26.0</v>
      </c>
      <c r="S39" s="15"/>
    </row>
    <row r="40" ht="12.75" customHeight="1">
      <c r="A40" s="10" t="str">
        <f t="shared" si="1"/>
        <v/>
      </c>
      <c r="B40" s="11">
        <f t="shared" si="2"/>
        <v>38</v>
      </c>
      <c r="C40" s="16" t="s">
        <v>81</v>
      </c>
      <c r="D40" s="16" t="s">
        <v>82</v>
      </c>
      <c r="E40" s="12">
        <f t="shared" si="3"/>
        <v>47</v>
      </c>
      <c r="F40" s="13"/>
      <c r="G40" s="13"/>
      <c r="H40" s="13"/>
      <c r="I40" s="13"/>
      <c r="J40" s="13"/>
      <c r="K40" s="13"/>
      <c r="L40" s="14">
        <v>23.0</v>
      </c>
      <c r="M40" s="14">
        <v>24.0</v>
      </c>
      <c r="N40" s="13"/>
      <c r="O40" s="13"/>
      <c r="P40" s="13"/>
      <c r="Q40" s="13"/>
      <c r="R40" s="13"/>
      <c r="S40" s="15"/>
    </row>
    <row r="41" ht="12.75" customHeight="1">
      <c r="A41" s="10" t="str">
        <f t="shared" si="1"/>
        <v/>
      </c>
      <c r="B41" s="11">
        <f t="shared" si="2"/>
        <v>39</v>
      </c>
      <c r="C41" s="12" t="s">
        <v>83</v>
      </c>
      <c r="D41" s="12" t="s">
        <v>84</v>
      </c>
      <c r="E41" s="12">
        <f t="shared" si="3"/>
        <v>46</v>
      </c>
      <c r="F41" s="14">
        <v>3.0</v>
      </c>
      <c r="G41" s="14">
        <v>3.0</v>
      </c>
      <c r="H41" s="13"/>
      <c r="I41" s="13"/>
      <c r="J41" s="14">
        <v>26.0</v>
      </c>
      <c r="K41" s="13"/>
      <c r="L41" s="14">
        <v>14.0</v>
      </c>
      <c r="M41" s="13"/>
      <c r="N41" s="13"/>
      <c r="O41" s="13"/>
      <c r="P41" s="13"/>
      <c r="Q41" s="13"/>
      <c r="R41" s="13"/>
      <c r="S41" s="15"/>
    </row>
    <row r="42" ht="12.75" customHeight="1">
      <c r="A42" s="10" t="str">
        <f t="shared" si="1"/>
        <v/>
      </c>
      <c r="B42" s="11">
        <f t="shared" si="2"/>
        <v>40</v>
      </c>
      <c r="C42" s="12" t="s">
        <v>85</v>
      </c>
      <c r="D42" s="16" t="s">
        <v>34</v>
      </c>
      <c r="E42" s="12">
        <f t="shared" si="3"/>
        <v>40</v>
      </c>
      <c r="F42" s="13"/>
      <c r="G42" s="13"/>
      <c r="H42" s="13"/>
      <c r="I42" s="13"/>
      <c r="J42" s="14">
        <v>26.0</v>
      </c>
      <c r="K42" s="13"/>
      <c r="L42" s="14">
        <v>14.0</v>
      </c>
      <c r="M42" s="13"/>
      <c r="N42" s="13"/>
      <c r="O42" s="13"/>
      <c r="P42" s="13"/>
      <c r="Q42" s="13"/>
      <c r="R42" s="13"/>
      <c r="S42" s="15"/>
    </row>
    <row r="43" ht="12.75" customHeight="1">
      <c r="A43" s="10" t="str">
        <f t="shared" si="1"/>
        <v/>
      </c>
      <c r="B43" s="11">
        <f t="shared" si="2"/>
        <v>41</v>
      </c>
      <c r="C43" s="12" t="s">
        <v>86</v>
      </c>
      <c r="D43" s="12" t="s">
        <v>87</v>
      </c>
      <c r="E43" s="12">
        <f t="shared" si="3"/>
        <v>36</v>
      </c>
      <c r="F43" s="14">
        <v>7.0</v>
      </c>
      <c r="G43" s="14">
        <v>3.0</v>
      </c>
      <c r="H43" s="13"/>
      <c r="I43" s="13"/>
      <c r="J43" s="14">
        <v>26.0</v>
      </c>
      <c r="K43" s="13"/>
      <c r="L43" s="13"/>
      <c r="M43" s="13"/>
      <c r="N43" s="13"/>
      <c r="O43" s="13"/>
      <c r="P43" s="13"/>
      <c r="Q43" s="13"/>
      <c r="R43" s="13"/>
      <c r="S43" s="15"/>
    </row>
    <row r="44" ht="12.75" customHeight="1">
      <c r="A44" s="10" t="str">
        <f t="shared" si="1"/>
        <v/>
      </c>
      <c r="B44" s="11">
        <f t="shared" si="2"/>
        <v>42</v>
      </c>
      <c r="C44" s="12" t="s">
        <v>88</v>
      </c>
      <c r="D44" s="12" t="s">
        <v>65</v>
      </c>
      <c r="E44" s="12">
        <f t="shared" si="3"/>
        <v>27</v>
      </c>
      <c r="F44" s="14">
        <v>3.0</v>
      </c>
      <c r="G44" s="13"/>
      <c r="H44" s="13"/>
      <c r="I44" s="13"/>
      <c r="J44" s="13"/>
      <c r="K44" s="13"/>
      <c r="L44" s="13"/>
      <c r="M44" s="14">
        <v>24.0</v>
      </c>
      <c r="N44" s="13"/>
      <c r="O44" s="13"/>
      <c r="P44" s="13"/>
      <c r="Q44" s="13"/>
      <c r="R44" s="13"/>
      <c r="S44" s="15"/>
    </row>
    <row r="45" ht="12.75" customHeight="1">
      <c r="A45" s="10" t="str">
        <f t="shared" si="1"/>
        <v>T</v>
      </c>
      <c r="B45" s="11">
        <f t="shared" si="2"/>
        <v>42</v>
      </c>
      <c r="C45" s="12" t="s">
        <v>89</v>
      </c>
      <c r="D45" s="12" t="s">
        <v>63</v>
      </c>
      <c r="E45" s="12">
        <f t="shared" si="3"/>
        <v>26</v>
      </c>
      <c r="F45" s="13"/>
      <c r="G45" s="13"/>
      <c r="H45" s="13"/>
      <c r="I45" s="13"/>
      <c r="J45" s="13"/>
      <c r="K45" s="13"/>
      <c r="L45" s="13"/>
      <c r="M45" s="13"/>
      <c r="N45" s="13"/>
      <c r="O45" s="14">
        <v>26.0</v>
      </c>
      <c r="P45" s="13"/>
      <c r="Q45" s="13"/>
      <c r="R45" s="14"/>
      <c r="S45" s="15"/>
    </row>
    <row r="46" ht="12.75" customHeight="1">
      <c r="A46" s="10" t="str">
        <f t="shared" si="1"/>
        <v>T</v>
      </c>
      <c r="B46" s="11">
        <f t="shared" si="2"/>
        <v>42</v>
      </c>
      <c r="C46" s="16" t="s">
        <v>90</v>
      </c>
      <c r="D46" s="16" t="s">
        <v>91</v>
      </c>
      <c r="E46" s="12">
        <f t="shared" si="3"/>
        <v>26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>
        <v>26.0</v>
      </c>
      <c r="S46" s="15"/>
    </row>
    <row r="47" ht="12.75" customHeight="1">
      <c r="A47" s="10" t="str">
        <f t="shared" si="1"/>
        <v>T</v>
      </c>
      <c r="B47" s="11">
        <f t="shared" si="2"/>
        <v>42</v>
      </c>
      <c r="C47" s="17" t="s">
        <v>92</v>
      </c>
      <c r="D47" s="17" t="s">
        <v>93</v>
      </c>
      <c r="E47" s="12">
        <f t="shared" si="3"/>
        <v>26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>
        <v>26.0</v>
      </c>
      <c r="S47" s="15"/>
    </row>
    <row r="48" ht="12.75" customHeight="1">
      <c r="A48" s="10" t="str">
        <f t="shared" si="1"/>
        <v>T</v>
      </c>
      <c r="B48" s="11">
        <f t="shared" si="2"/>
        <v>42</v>
      </c>
      <c r="C48" s="12" t="s">
        <v>94</v>
      </c>
      <c r="D48" s="12" t="s">
        <v>95</v>
      </c>
      <c r="E48" s="12">
        <f t="shared" si="3"/>
        <v>26</v>
      </c>
      <c r="F48" s="13"/>
      <c r="G48" s="13"/>
      <c r="H48" s="13"/>
      <c r="I48" s="13"/>
      <c r="J48" s="13"/>
      <c r="K48" s="13"/>
      <c r="L48" s="13"/>
      <c r="M48" s="13"/>
      <c r="N48" s="13"/>
      <c r="O48" s="14">
        <v>26.0</v>
      </c>
      <c r="P48" s="13"/>
      <c r="Q48" s="13"/>
      <c r="R48" s="13"/>
      <c r="S48" s="15"/>
    </row>
    <row r="49" ht="12.75" customHeight="1">
      <c r="A49" s="10" t="str">
        <f t="shared" si="1"/>
        <v>T</v>
      </c>
      <c r="B49" s="11">
        <f t="shared" si="2"/>
        <v>42</v>
      </c>
      <c r="C49" s="16" t="s">
        <v>96</v>
      </c>
      <c r="D49" s="16" t="s">
        <v>97</v>
      </c>
      <c r="E49" s="12">
        <f t="shared" si="3"/>
        <v>26</v>
      </c>
      <c r="F49" s="13"/>
      <c r="G49" s="13"/>
      <c r="H49" s="13"/>
      <c r="I49" s="13"/>
      <c r="J49" s="13"/>
      <c r="K49" s="13"/>
      <c r="L49" s="13"/>
      <c r="M49" s="13"/>
      <c r="N49" s="13"/>
      <c r="O49" s="14">
        <v>26.0</v>
      </c>
      <c r="P49" s="13"/>
      <c r="Q49" s="13"/>
      <c r="R49" s="13"/>
      <c r="S49" s="15"/>
    </row>
    <row r="50" ht="12.75" customHeight="1">
      <c r="A50" s="10" t="str">
        <f t="shared" si="1"/>
        <v/>
      </c>
      <c r="B50" s="11">
        <f t="shared" si="2"/>
        <v>48</v>
      </c>
      <c r="C50" s="16" t="s">
        <v>98</v>
      </c>
      <c r="D50" s="12" t="s">
        <v>99</v>
      </c>
      <c r="E50" s="12">
        <f t="shared" si="3"/>
        <v>26</v>
      </c>
      <c r="F50" s="13"/>
      <c r="G50" s="13"/>
      <c r="H50" s="13"/>
      <c r="I50" s="13"/>
      <c r="J50" s="13"/>
      <c r="K50" s="13"/>
      <c r="L50" s="13"/>
      <c r="M50" s="13"/>
      <c r="N50" s="13"/>
      <c r="O50" s="14">
        <v>26.0</v>
      </c>
      <c r="P50" s="13"/>
      <c r="Q50" s="13"/>
      <c r="R50" s="13"/>
      <c r="S50" s="15"/>
    </row>
    <row r="51" ht="12.75" customHeight="1">
      <c r="A51" s="10" t="str">
        <f t="shared" si="1"/>
        <v/>
      </c>
      <c r="B51" s="11">
        <f t="shared" si="2"/>
        <v>49</v>
      </c>
      <c r="C51" s="16" t="s">
        <v>100</v>
      </c>
      <c r="D51" s="16" t="s">
        <v>49</v>
      </c>
      <c r="E51" s="12">
        <f t="shared" si="3"/>
        <v>24</v>
      </c>
      <c r="F51" s="13"/>
      <c r="G51" s="13"/>
      <c r="H51" s="13"/>
      <c r="I51" s="13"/>
      <c r="J51" s="13"/>
      <c r="K51" s="13"/>
      <c r="L51" s="13"/>
      <c r="M51" s="14">
        <v>24.0</v>
      </c>
      <c r="N51" s="13"/>
      <c r="O51" s="13"/>
      <c r="P51" s="13"/>
      <c r="Q51" s="13"/>
      <c r="R51" s="13"/>
      <c r="S51" s="15"/>
    </row>
    <row r="52" ht="12.75" customHeight="1">
      <c r="A52" s="10" t="str">
        <f t="shared" si="1"/>
        <v>T</v>
      </c>
      <c r="B52" s="11">
        <f t="shared" si="2"/>
        <v>49</v>
      </c>
      <c r="C52" s="12" t="s">
        <v>101</v>
      </c>
      <c r="D52" s="12" t="s">
        <v>102</v>
      </c>
      <c r="E52" s="12">
        <f t="shared" si="3"/>
        <v>23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5">
        <v>23.0</v>
      </c>
    </row>
    <row r="53" ht="12.75" customHeight="1">
      <c r="A53" s="10" t="str">
        <f t="shared" si="1"/>
        <v>T</v>
      </c>
      <c r="B53" s="11">
        <f t="shared" si="2"/>
        <v>49</v>
      </c>
      <c r="C53" s="16" t="s">
        <v>103</v>
      </c>
      <c r="D53" s="16" t="s">
        <v>104</v>
      </c>
      <c r="E53" s="12">
        <f t="shared" si="3"/>
        <v>23</v>
      </c>
      <c r="F53" s="13"/>
      <c r="G53" s="13"/>
      <c r="H53" s="13"/>
      <c r="I53" s="14">
        <v>23.0</v>
      </c>
      <c r="J53" s="13"/>
      <c r="K53" s="13"/>
      <c r="L53" s="13"/>
      <c r="M53" s="13"/>
      <c r="N53" s="13"/>
      <c r="O53" s="13"/>
      <c r="P53" s="13"/>
      <c r="Q53" s="13"/>
      <c r="R53" s="13"/>
      <c r="S53" s="15"/>
    </row>
    <row r="54" ht="12.75" customHeight="1">
      <c r="A54" s="10" t="str">
        <f t="shared" si="1"/>
        <v/>
      </c>
      <c r="B54" s="11">
        <f t="shared" si="2"/>
        <v>52</v>
      </c>
      <c r="C54" s="16" t="s">
        <v>105</v>
      </c>
      <c r="D54" s="16" t="s">
        <v>51</v>
      </c>
      <c r="E54" s="12">
        <f t="shared" si="3"/>
        <v>23</v>
      </c>
      <c r="F54" s="13"/>
      <c r="G54" s="13"/>
      <c r="H54" s="13"/>
      <c r="I54" s="13"/>
      <c r="J54" s="13"/>
      <c r="K54" s="13"/>
      <c r="L54" s="13"/>
      <c r="M54" s="13"/>
      <c r="N54" s="14">
        <v>23.0</v>
      </c>
      <c r="O54" s="14"/>
      <c r="P54" s="13"/>
      <c r="Q54" s="13"/>
      <c r="R54" s="13"/>
      <c r="S54" s="15"/>
    </row>
    <row r="55" ht="12.75" customHeight="1">
      <c r="A55" s="10" t="str">
        <f t="shared" si="1"/>
        <v/>
      </c>
      <c r="B55" s="11">
        <f t="shared" si="2"/>
        <v>53</v>
      </c>
      <c r="C55" s="12" t="s">
        <v>106</v>
      </c>
      <c r="D55" s="12" t="s">
        <v>107</v>
      </c>
      <c r="E55" s="12">
        <f t="shared" si="3"/>
        <v>20</v>
      </c>
      <c r="F55" s="14">
        <v>3.0</v>
      </c>
      <c r="G55" s="14">
        <v>3.0</v>
      </c>
      <c r="H55" s="13"/>
      <c r="I55" s="13"/>
      <c r="J55" s="13"/>
      <c r="K55" s="14">
        <v>14.0</v>
      </c>
      <c r="L55" s="13"/>
      <c r="M55" s="13"/>
      <c r="N55" s="13"/>
      <c r="O55" s="13"/>
      <c r="P55" s="13"/>
      <c r="Q55" s="13"/>
      <c r="R55" s="13"/>
      <c r="S55" s="15"/>
    </row>
    <row r="56" ht="12.75" customHeight="1">
      <c r="A56" s="10" t="str">
        <f t="shared" si="1"/>
        <v/>
      </c>
      <c r="B56" s="11">
        <f t="shared" si="2"/>
        <v>54</v>
      </c>
      <c r="C56" s="12" t="s">
        <v>108</v>
      </c>
      <c r="D56" s="12" t="s">
        <v>34</v>
      </c>
      <c r="E56" s="12">
        <f t="shared" si="3"/>
        <v>18</v>
      </c>
      <c r="F56" s="13"/>
      <c r="G56" s="14">
        <v>18.0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5"/>
    </row>
    <row r="57" ht="12.75" customHeight="1">
      <c r="A57" s="10" t="str">
        <f t="shared" si="1"/>
        <v>T</v>
      </c>
      <c r="B57" s="11">
        <f t="shared" si="2"/>
        <v>54</v>
      </c>
      <c r="C57" s="12" t="s">
        <v>109</v>
      </c>
      <c r="D57" s="12" t="s">
        <v>32</v>
      </c>
      <c r="E57" s="12">
        <f t="shared" si="3"/>
        <v>14</v>
      </c>
      <c r="F57" s="13"/>
      <c r="G57" s="13"/>
      <c r="H57" s="13"/>
      <c r="I57" s="13"/>
      <c r="J57" s="13"/>
      <c r="K57" s="13"/>
      <c r="L57" s="13"/>
      <c r="M57" s="13"/>
      <c r="N57" s="13"/>
      <c r="O57" s="14">
        <v>14.0</v>
      </c>
      <c r="P57" s="13"/>
      <c r="Q57" s="13"/>
      <c r="R57" s="13"/>
      <c r="S57" s="15"/>
    </row>
    <row r="58" ht="12.75" customHeight="1">
      <c r="A58" s="10" t="str">
        <f t="shared" si="1"/>
        <v>T</v>
      </c>
      <c r="B58" s="11">
        <f t="shared" si="2"/>
        <v>54</v>
      </c>
      <c r="C58" s="16" t="s">
        <v>110</v>
      </c>
      <c r="D58" s="12" t="s">
        <v>111</v>
      </c>
      <c r="E58" s="12">
        <f t="shared" si="3"/>
        <v>14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>
        <v>14.0</v>
      </c>
      <c r="S58" s="15"/>
    </row>
    <row r="59" ht="12.75" customHeight="1">
      <c r="A59" s="10" t="str">
        <f t="shared" si="1"/>
        <v>T</v>
      </c>
      <c r="B59" s="11">
        <f t="shared" si="2"/>
        <v>54</v>
      </c>
      <c r="C59" s="12" t="s">
        <v>112</v>
      </c>
      <c r="D59" s="12" t="s">
        <v>63</v>
      </c>
      <c r="E59" s="12">
        <f t="shared" si="3"/>
        <v>14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>
        <v>14.0</v>
      </c>
      <c r="S59" s="15"/>
    </row>
    <row r="60" ht="12.75" customHeight="1">
      <c r="A60" s="10" t="str">
        <f t="shared" si="1"/>
        <v>T</v>
      </c>
      <c r="B60" s="11">
        <f t="shared" si="2"/>
        <v>54</v>
      </c>
      <c r="C60" s="16" t="s">
        <v>113</v>
      </c>
      <c r="D60" s="16" t="s">
        <v>114</v>
      </c>
      <c r="E60" s="12">
        <f t="shared" si="3"/>
        <v>14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>
        <v>14.0</v>
      </c>
      <c r="S60" s="15"/>
    </row>
    <row r="61" ht="12.75" customHeight="1">
      <c r="A61" s="10" t="str">
        <f t="shared" si="1"/>
        <v>T</v>
      </c>
      <c r="B61" s="11">
        <f t="shared" si="2"/>
        <v>54</v>
      </c>
      <c r="C61" s="12" t="s">
        <v>115</v>
      </c>
      <c r="D61" s="12" t="s">
        <v>99</v>
      </c>
      <c r="E61" s="12">
        <f t="shared" si="3"/>
        <v>14</v>
      </c>
      <c r="F61" s="13"/>
      <c r="G61" s="13"/>
      <c r="H61" s="13"/>
      <c r="I61" s="13"/>
      <c r="J61" s="13"/>
      <c r="K61" s="13"/>
      <c r="L61" s="13"/>
      <c r="M61" s="13"/>
      <c r="N61" s="14">
        <v>14.0</v>
      </c>
      <c r="O61" s="13"/>
      <c r="P61" s="13"/>
      <c r="Q61" s="13"/>
      <c r="R61" s="13"/>
      <c r="S61" s="15"/>
    </row>
    <row r="62" ht="12.75" customHeight="1">
      <c r="A62" s="10" t="str">
        <f t="shared" si="1"/>
        <v>T</v>
      </c>
      <c r="B62" s="11">
        <f t="shared" si="2"/>
        <v>54</v>
      </c>
      <c r="C62" s="16" t="s">
        <v>116</v>
      </c>
      <c r="D62" s="16" t="s">
        <v>117</v>
      </c>
      <c r="E62" s="12">
        <f t="shared" si="3"/>
        <v>14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">
        <v>14.0</v>
      </c>
      <c r="S62" s="15"/>
    </row>
    <row r="63" ht="12.75" customHeight="1">
      <c r="A63" s="10" t="str">
        <f t="shared" si="1"/>
        <v>T</v>
      </c>
      <c r="B63" s="11">
        <f t="shared" si="2"/>
        <v>54</v>
      </c>
      <c r="C63" s="16" t="s">
        <v>118</v>
      </c>
      <c r="D63" s="12" t="s">
        <v>32</v>
      </c>
      <c r="E63" s="12">
        <f t="shared" si="3"/>
        <v>14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">
        <v>14.0</v>
      </c>
      <c r="S63" s="15"/>
    </row>
    <row r="64" ht="12.75" customHeight="1">
      <c r="A64" s="10" t="str">
        <f t="shared" si="1"/>
        <v>T</v>
      </c>
      <c r="B64" s="11">
        <f t="shared" si="2"/>
        <v>54</v>
      </c>
      <c r="C64" s="16" t="s">
        <v>119</v>
      </c>
      <c r="D64" s="16" t="s">
        <v>36</v>
      </c>
      <c r="E64" s="12">
        <f t="shared" si="3"/>
        <v>14</v>
      </c>
      <c r="F64" s="13"/>
      <c r="G64" s="13"/>
      <c r="H64" s="13"/>
      <c r="I64" s="13"/>
      <c r="J64" s="13"/>
      <c r="K64" s="13"/>
      <c r="L64" s="13"/>
      <c r="M64" s="13"/>
      <c r="N64" s="13"/>
      <c r="O64" s="14">
        <v>14.0</v>
      </c>
      <c r="P64" s="13"/>
      <c r="Q64" s="13"/>
      <c r="R64" s="13"/>
      <c r="S64" s="15"/>
    </row>
    <row r="65" ht="12.75" customHeight="1">
      <c r="A65" s="10" t="str">
        <f t="shared" si="1"/>
        <v>T</v>
      </c>
      <c r="B65" s="11">
        <f t="shared" si="2"/>
        <v>54</v>
      </c>
      <c r="C65" s="16" t="s">
        <v>120</v>
      </c>
      <c r="D65" s="16" t="s">
        <v>36</v>
      </c>
      <c r="E65" s="12">
        <f t="shared" si="3"/>
        <v>14</v>
      </c>
      <c r="F65" s="13"/>
      <c r="G65" s="13"/>
      <c r="H65" s="13"/>
      <c r="I65" s="13"/>
      <c r="J65" s="13"/>
      <c r="K65" s="13"/>
      <c r="L65" s="13"/>
      <c r="M65" s="13"/>
      <c r="N65" s="13"/>
      <c r="O65" s="14">
        <v>14.0</v>
      </c>
      <c r="P65" s="13"/>
      <c r="Q65" s="13"/>
      <c r="R65" s="13"/>
      <c r="S65" s="15"/>
    </row>
    <row r="66" ht="12.75" customHeight="1">
      <c r="A66" s="10" t="str">
        <f t="shared" si="1"/>
        <v>T</v>
      </c>
      <c r="B66" s="11">
        <f t="shared" si="2"/>
        <v>54</v>
      </c>
      <c r="C66" s="12" t="s">
        <v>121</v>
      </c>
      <c r="D66" s="12" t="s">
        <v>63</v>
      </c>
      <c r="E66" s="12">
        <f t="shared" si="3"/>
        <v>14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4">
        <v>14.0</v>
      </c>
      <c r="S66" s="15"/>
    </row>
    <row r="67" ht="12.75" customHeight="1">
      <c r="A67" s="10" t="str">
        <f t="shared" si="1"/>
        <v>T</v>
      </c>
      <c r="B67" s="11">
        <f t="shared" si="2"/>
        <v>54</v>
      </c>
      <c r="C67" s="16" t="s">
        <v>122</v>
      </c>
      <c r="D67" s="12" t="s">
        <v>32</v>
      </c>
      <c r="E67" s="12">
        <f t="shared" si="3"/>
        <v>14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4">
        <v>14.0</v>
      </c>
      <c r="S67" s="15"/>
    </row>
    <row r="68" ht="12.75" customHeight="1">
      <c r="A68" s="10" t="str">
        <f t="shared" si="1"/>
        <v>T</v>
      </c>
      <c r="B68" s="11">
        <f t="shared" si="2"/>
        <v>54</v>
      </c>
      <c r="C68" s="16" t="s">
        <v>123</v>
      </c>
      <c r="D68" s="16" t="s">
        <v>114</v>
      </c>
      <c r="E68" s="12">
        <f t="shared" si="3"/>
        <v>14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4">
        <v>14.0</v>
      </c>
      <c r="S68" s="15"/>
    </row>
    <row r="69" ht="12.75" customHeight="1">
      <c r="A69" s="10" t="str">
        <f t="shared" si="1"/>
        <v>T</v>
      </c>
      <c r="B69" s="11">
        <f t="shared" si="2"/>
        <v>54</v>
      </c>
      <c r="C69" s="16" t="s">
        <v>124</v>
      </c>
      <c r="D69" s="16" t="s">
        <v>32</v>
      </c>
      <c r="E69" s="12">
        <f t="shared" si="3"/>
        <v>14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4">
        <v>14.0</v>
      </c>
      <c r="S69" s="15"/>
    </row>
    <row r="70" ht="12.75" customHeight="1">
      <c r="A70" s="10" t="str">
        <f t="shared" si="1"/>
        <v>T</v>
      </c>
      <c r="B70" s="11">
        <f t="shared" si="2"/>
        <v>54</v>
      </c>
      <c r="C70" s="12" t="s">
        <v>125</v>
      </c>
      <c r="D70" s="12" t="s">
        <v>126</v>
      </c>
      <c r="E70" s="12">
        <f t="shared" si="3"/>
        <v>14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4">
        <v>14.0</v>
      </c>
      <c r="S70" s="15"/>
    </row>
    <row r="71" ht="12.75" customHeight="1">
      <c r="A71" s="10" t="str">
        <f t="shared" si="1"/>
        <v>T</v>
      </c>
      <c r="B71" s="11">
        <f t="shared" si="2"/>
        <v>54</v>
      </c>
      <c r="C71" s="16" t="s">
        <v>127</v>
      </c>
      <c r="D71" s="16" t="s">
        <v>128</v>
      </c>
      <c r="E71" s="12">
        <f t="shared" si="3"/>
        <v>14</v>
      </c>
      <c r="F71" s="13"/>
      <c r="G71" s="13"/>
      <c r="H71" s="13"/>
      <c r="I71" s="13"/>
      <c r="J71" s="13"/>
      <c r="K71" s="13"/>
      <c r="L71" s="13"/>
      <c r="M71" s="13"/>
      <c r="N71" s="14">
        <v>14.0</v>
      </c>
      <c r="O71" s="13"/>
      <c r="P71" s="13"/>
      <c r="Q71" s="13"/>
      <c r="R71" s="13"/>
      <c r="S71" s="15"/>
    </row>
    <row r="72" ht="12.75" customHeight="1">
      <c r="A72" s="10" t="str">
        <f t="shared" si="1"/>
        <v>T</v>
      </c>
      <c r="B72" s="11">
        <f t="shared" si="2"/>
        <v>54</v>
      </c>
      <c r="C72" s="16" t="s">
        <v>129</v>
      </c>
      <c r="D72" s="16" t="s">
        <v>130</v>
      </c>
      <c r="E72" s="12">
        <f t="shared" si="3"/>
        <v>14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">
        <v>14.0</v>
      </c>
      <c r="S72" s="15"/>
    </row>
    <row r="73" ht="12.75" customHeight="1">
      <c r="A73" s="10" t="str">
        <f t="shared" si="1"/>
        <v/>
      </c>
      <c r="B73" s="11">
        <f t="shared" si="2"/>
        <v>71</v>
      </c>
      <c r="C73" s="16" t="s">
        <v>131</v>
      </c>
      <c r="D73" s="12" t="s">
        <v>32</v>
      </c>
      <c r="E73" s="12">
        <f t="shared" si="3"/>
        <v>14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>
        <v>14.0</v>
      </c>
      <c r="S73" s="15"/>
    </row>
    <row r="74" ht="12.75" customHeight="1">
      <c r="A74" s="10" t="str">
        <f t="shared" si="1"/>
        <v/>
      </c>
      <c r="B74" s="11">
        <f t="shared" si="2"/>
        <v>72</v>
      </c>
      <c r="C74" s="16" t="s">
        <v>132</v>
      </c>
      <c r="D74" s="16" t="s">
        <v>36</v>
      </c>
      <c r="E74" s="12">
        <f t="shared" si="3"/>
        <v>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4">
        <v>8.0</v>
      </c>
      <c r="R74" s="13"/>
      <c r="S74" s="15"/>
    </row>
    <row r="75" ht="12.75" customHeight="1">
      <c r="A75" s="10" t="str">
        <f t="shared" si="1"/>
        <v>T</v>
      </c>
      <c r="B75" s="11">
        <f t="shared" si="2"/>
        <v>72</v>
      </c>
      <c r="C75" s="16" t="s">
        <v>133</v>
      </c>
      <c r="D75" s="16" t="s">
        <v>134</v>
      </c>
      <c r="E75" s="12">
        <f t="shared" si="3"/>
        <v>3</v>
      </c>
      <c r="F75" s="13"/>
      <c r="G75" s="13"/>
      <c r="H75" s="14">
        <v>3.0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5"/>
    </row>
    <row r="76" ht="12.75" customHeight="1">
      <c r="A76" s="10" t="str">
        <f t="shared" si="1"/>
        <v>T</v>
      </c>
      <c r="B76" s="11">
        <f t="shared" si="2"/>
        <v>72</v>
      </c>
      <c r="C76" s="16" t="s">
        <v>135</v>
      </c>
      <c r="D76" s="16" t="s">
        <v>134</v>
      </c>
      <c r="E76" s="12">
        <f t="shared" si="3"/>
        <v>3</v>
      </c>
      <c r="F76" s="13"/>
      <c r="G76" s="13"/>
      <c r="H76" s="14">
        <v>3.0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5"/>
    </row>
    <row r="77" ht="12.75" customHeight="1">
      <c r="A77" s="10" t="str">
        <f t="shared" si="1"/>
        <v>T</v>
      </c>
      <c r="B77" s="18">
        <v>72.0</v>
      </c>
      <c r="C77" s="16" t="s">
        <v>136</v>
      </c>
      <c r="D77" s="16" t="s">
        <v>134</v>
      </c>
      <c r="E77" s="12">
        <f t="shared" si="3"/>
        <v>3</v>
      </c>
      <c r="F77" s="13"/>
      <c r="G77" s="13"/>
      <c r="H77" s="14">
        <v>3.0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5"/>
    </row>
    <row r="78" ht="12.75" customHeight="1">
      <c r="A78" s="10"/>
      <c r="B78" s="11"/>
      <c r="C78" s="12"/>
      <c r="D78" s="12"/>
      <c r="E78" s="12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5"/>
    </row>
    <row r="79" ht="12.75" customHeight="1">
      <c r="A79" s="10"/>
      <c r="B79" s="11"/>
      <c r="C79" s="16"/>
      <c r="D79" s="12"/>
      <c r="E79" s="12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5"/>
    </row>
    <row r="80" ht="12.75" customHeight="1">
      <c r="A80" s="10"/>
      <c r="B80" s="11"/>
      <c r="C80" s="12"/>
      <c r="D80" s="12"/>
      <c r="E80" s="12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5"/>
    </row>
    <row r="81" ht="12.75" customHeight="1">
      <c r="A81" s="10"/>
      <c r="B81" s="11"/>
      <c r="C81" s="12"/>
      <c r="D81" s="12"/>
      <c r="E81" s="1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5"/>
    </row>
    <row r="82" ht="12.75" customHeight="1">
      <c r="A82" s="10"/>
      <c r="B82" s="11"/>
      <c r="C82" s="12"/>
      <c r="D82" s="12"/>
      <c r="E82" s="12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5"/>
    </row>
    <row r="83" ht="12.75" customHeight="1">
      <c r="A83" s="10"/>
      <c r="B83" s="11"/>
      <c r="C83" s="12"/>
      <c r="D83" s="12"/>
      <c r="E83" s="12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5"/>
    </row>
    <row r="84" ht="12.75" customHeight="1">
      <c r="A84" s="10"/>
      <c r="B84" s="11"/>
      <c r="C84" s="12"/>
      <c r="D84" s="12"/>
      <c r="E84" s="12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5"/>
    </row>
    <row r="85" ht="12.75" customHeight="1">
      <c r="A85" s="10"/>
      <c r="B85" s="11"/>
      <c r="C85" s="12"/>
      <c r="D85" s="12"/>
      <c r="E85" s="12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5"/>
    </row>
    <row r="86" ht="12.75" customHeight="1">
      <c r="A86" s="10"/>
      <c r="B86" s="11"/>
      <c r="C86" s="12"/>
      <c r="D86" s="12"/>
      <c r="E86" s="12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5"/>
    </row>
    <row r="87" ht="12.75" customHeight="1">
      <c r="A87" s="10"/>
      <c r="B87" s="11"/>
      <c r="C87" s="12"/>
      <c r="D87" s="12"/>
      <c r="E87" s="12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5"/>
    </row>
    <row r="88" ht="12.75" customHeight="1">
      <c r="A88" s="10"/>
      <c r="B88" s="11"/>
      <c r="C88" s="12"/>
      <c r="D88" s="12"/>
      <c r="E88" s="12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5"/>
    </row>
    <row r="89" ht="12.75" customHeight="1"/>
    <row r="90" ht="12.75" customHeight="1">
      <c r="A90" s="19" t="s">
        <v>137</v>
      </c>
      <c r="B90" s="20"/>
      <c r="C90" s="21" t="s">
        <v>138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3"/>
    </row>
    <row r="91" ht="12.75" customHeight="1">
      <c r="A91" s="19" t="s">
        <v>137</v>
      </c>
      <c r="B91" s="24"/>
      <c r="C91" s="25" t="s">
        <v>139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3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</sheetData>
  <mergeCells count="4">
    <mergeCell ref="B1:S1"/>
    <mergeCell ref="A2:B2"/>
    <mergeCell ref="C90:Q90"/>
    <mergeCell ref="C91:Q9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88"/>
    <col customWidth="1" min="3" max="3" width="12.38"/>
    <col customWidth="1" min="4" max="4" width="13.88"/>
    <col customWidth="1" min="5" max="5" width="5.5"/>
    <col customWidth="1" min="6" max="6" width="8.5"/>
    <col customWidth="1" min="7" max="8" width="8.0"/>
  </cols>
  <sheetData>
    <row r="1" ht="16.5" customHeight="1">
      <c r="B1" s="26" t="s">
        <v>140</v>
      </c>
    </row>
    <row r="2" ht="12.75" customHeight="1">
      <c r="A2" s="27"/>
      <c r="B2" s="28"/>
      <c r="C2" s="5"/>
      <c r="D2" s="5"/>
      <c r="E2" s="5"/>
      <c r="F2" s="29" t="s">
        <v>141</v>
      </c>
    </row>
    <row r="3" ht="12.75" customHeight="1">
      <c r="A3" s="30" t="s">
        <v>1</v>
      </c>
      <c r="B3" s="31"/>
      <c r="C3" s="32" t="s">
        <v>2</v>
      </c>
      <c r="D3" s="32" t="s">
        <v>3</v>
      </c>
      <c r="E3" s="32" t="s">
        <v>4</v>
      </c>
      <c r="F3" s="29" t="s">
        <v>142</v>
      </c>
    </row>
    <row r="4" ht="12.75" customHeight="1">
      <c r="A4" s="10" t="str">
        <f t="shared" ref="A4:A9" si="1">IF(B4=B3,"T","")</f>
        <v/>
      </c>
      <c r="B4" s="11">
        <f t="shared" ref="B4:B7" si="2">RANK(E4,$E$4:$E$6,0)</f>
        <v>1</v>
      </c>
      <c r="C4" s="16" t="s">
        <v>101</v>
      </c>
      <c r="D4" s="16" t="s">
        <v>102</v>
      </c>
      <c r="E4" s="12">
        <f t="shared" ref="E4:E9" si="3">SUM(F4)</f>
        <v>170</v>
      </c>
      <c r="F4" s="14">
        <v>170.0</v>
      </c>
    </row>
    <row r="5" ht="12.75" customHeight="1">
      <c r="A5" s="10" t="str">
        <f t="shared" si="1"/>
        <v/>
      </c>
      <c r="B5" s="11">
        <f t="shared" si="2"/>
        <v>2</v>
      </c>
      <c r="C5" s="16" t="s">
        <v>56</v>
      </c>
      <c r="D5" s="16" t="s">
        <v>57</v>
      </c>
      <c r="E5" s="12">
        <f t="shared" si="3"/>
        <v>119</v>
      </c>
      <c r="F5" s="14">
        <v>119.0</v>
      </c>
    </row>
    <row r="6" ht="12.75" customHeight="1">
      <c r="A6" s="10" t="str">
        <f t="shared" si="1"/>
        <v/>
      </c>
      <c r="B6" s="11">
        <f t="shared" si="2"/>
        <v>3</v>
      </c>
      <c r="C6" s="12" t="s">
        <v>60</v>
      </c>
      <c r="D6" s="12" t="s">
        <v>61</v>
      </c>
      <c r="E6" s="12">
        <f t="shared" si="3"/>
        <v>77</v>
      </c>
      <c r="F6" s="14">
        <v>77.0</v>
      </c>
    </row>
    <row r="7" ht="12.75" customHeight="1">
      <c r="A7" s="10" t="str">
        <f t="shared" si="1"/>
        <v>T</v>
      </c>
      <c r="B7" s="11">
        <f t="shared" si="2"/>
        <v>3</v>
      </c>
      <c r="C7" s="16" t="s">
        <v>143</v>
      </c>
      <c r="D7" s="16" t="s">
        <v>144</v>
      </c>
      <c r="E7" s="12">
        <f t="shared" si="3"/>
        <v>77</v>
      </c>
      <c r="F7" s="14">
        <v>77.0</v>
      </c>
    </row>
    <row r="8" ht="12.75" customHeight="1">
      <c r="A8" s="10" t="str">
        <f t="shared" si="1"/>
        <v/>
      </c>
      <c r="B8" s="18">
        <v>5.0</v>
      </c>
      <c r="C8" s="12" t="s">
        <v>73</v>
      </c>
      <c r="D8" s="12" t="s">
        <v>32</v>
      </c>
      <c r="E8" s="12">
        <f t="shared" si="3"/>
        <v>43</v>
      </c>
      <c r="F8" s="14">
        <v>43.0</v>
      </c>
    </row>
    <row r="9" ht="12.75" customHeight="1">
      <c r="A9" s="10" t="str">
        <f t="shared" si="1"/>
        <v>T</v>
      </c>
      <c r="B9" s="18">
        <v>5.0</v>
      </c>
      <c r="C9" s="16" t="s">
        <v>145</v>
      </c>
      <c r="D9" s="12" t="s">
        <v>146</v>
      </c>
      <c r="E9" s="12">
        <f t="shared" si="3"/>
        <v>43</v>
      </c>
      <c r="F9" s="14">
        <v>43.0</v>
      </c>
    </row>
    <row r="10" ht="12.75" customHeight="1">
      <c r="A10" s="10"/>
      <c r="B10" s="11"/>
      <c r="C10" s="12"/>
      <c r="D10" s="12"/>
      <c r="E10" s="12"/>
      <c r="F10" s="13"/>
    </row>
    <row r="11" ht="12.75" customHeight="1">
      <c r="A11" s="10"/>
      <c r="B11" s="11"/>
      <c r="C11" s="12"/>
      <c r="D11" s="12"/>
      <c r="E11" s="12"/>
      <c r="F11" s="13"/>
    </row>
    <row r="12" ht="12.75" customHeight="1">
      <c r="A12" s="10"/>
      <c r="B12" s="11"/>
      <c r="C12" s="16"/>
      <c r="D12" s="16"/>
      <c r="E12" s="12"/>
      <c r="F12" s="13"/>
    </row>
    <row r="13" ht="12.75" customHeight="1">
      <c r="A13" s="10"/>
      <c r="B13" s="11"/>
      <c r="C13" s="16"/>
      <c r="D13" s="12"/>
      <c r="E13" s="12"/>
      <c r="F13" s="13"/>
    </row>
    <row r="14" ht="12.75" customHeight="1"/>
    <row r="15" ht="12.75" customHeight="1">
      <c r="A15" s="19" t="s">
        <v>137</v>
      </c>
      <c r="B15" s="20"/>
      <c r="C15" s="21" t="s">
        <v>138</v>
      </c>
      <c r="D15" s="22"/>
      <c r="E15" s="22"/>
      <c r="F15" s="22"/>
      <c r="G15" s="23"/>
    </row>
    <row r="16" ht="12.75" customHeight="1">
      <c r="A16" s="19" t="s">
        <v>137</v>
      </c>
      <c r="B16" s="24"/>
      <c r="C16" s="25" t="s">
        <v>139</v>
      </c>
      <c r="D16" s="22"/>
      <c r="E16" s="22"/>
      <c r="F16" s="22"/>
      <c r="G16" s="23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3:B3"/>
    <mergeCell ref="C15:G15"/>
    <mergeCell ref="C16:G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88"/>
    <col customWidth="1" min="3" max="3" width="12.38"/>
    <col customWidth="1" min="4" max="4" width="13.88"/>
    <col customWidth="1" min="5" max="5" width="5.5"/>
    <col customWidth="1" min="6" max="7" width="6.75"/>
    <col customWidth="1" min="8" max="10" width="7.5"/>
    <col customWidth="1" min="11" max="11" width="7.38"/>
    <col customWidth="1" min="12" max="13" width="7.5"/>
    <col customWidth="1" min="14" max="19" width="8.0"/>
  </cols>
  <sheetData>
    <row r="1" ht="16.5" customHeight="1">
      <c r="B1" s="26" t="s">
        <v>147</v>
      </c>
    </row>
    <row r="2" ht="12.75" customHeight="1">
      <c r="A2" s="27"/>
      <c r="B2" s="28"/>
      <c r="C2" s="5"/>
      <c r="D2" s="5"/>
      <c r="E2" s="5"/>
      <c r="F2" s="33" t="s">
        <v>141</v>
      </c>
      <c r="G2" s="34"/>
      <c r="H2" s="34"/>
      <c r="I2" s="34"/>
      <c r="J2" s="34"/>
      <c r="K2" s="34"/>
      <c r="L2" s="34"/>
      <c r="M2" s="35"/>
    </row>
    <row r="3" ht="12.75" customHeight="1">
      <c r="A3" s="30" t="s">
        <v>1</v>
      </c>
      <c r="B3" s="31"/>
      <c r="C3" s="32" t="s">
        <v>2</v>
      </c>
      <c r="D3" s="32" t="s">
        <v>3</v>
      </c>
      <c r="E3" s="32" t="s">
        <v>4</v>
      </c>
      <c r="F3" s="7" t="s">
        <v>5</v>
      </c>
      <c r="G3" s="36" t="s">
        <v>7</v>
      </c>
      <c r="H3" s="29" t="s">
        <v>142</v>
      </c>
      <c r="I3" s="29" t="s">
        <v>10</v>
      </c>
      <c r="J3" s="29" t="s">
        <v>11</v>
      </c>
      <c r="K3" s="29" t="s">
        <v>12</v>
      </c>
      <c r="L3" s="29" t="s">
        <v>13</v>
      </c>
      <c r="M3" s="29" t="s">
        <v>17</v>
      </c>
    </row>
    <row r="4" ht="12.75" customHeight="1">
      <c r="A4" s="10" t="str">
        <f t="shared" ref="A4:A7" si="1">IF(B4=B3,"T","")</f>
        <v/>
      </c>
      <c r="B4" s="37">
        <f t="shared" ref="B4:B37" si="2">RANK(E4,$E$4:$E$105,0)</f>
        <v>1</v>
      </c>
      <c r="C4" s="12" t="s">
        <v>148</v>
      </c>
      <c r="D4" s="12" t="s">
        <v>36</v>
      </c>
      <c r="E4" s="12">
        <f t="shared" ref="E4:E37" si="3">SUM(F4:M4)</f>
        <v>152</v>
      </c>
      <c r="F4" s="14">
        <v>7.0</v>
      </c>
      <c r="G4" s="13"/>
      <c r="H4" s="14">
        <v>77.0</v>
      </c>
      <c r="I4" s="14">
        <v>22.0</v>
      </c>
      <c r="J4" s="13"/>
      <c r="K4" s="14">
        <v>23.0</v>
      </c>
      <c r="L4" s="14">
        <v>23.0</v>
      </c>
      <c r="M4" s="13"/>
    </row>
    <row r="5" ht="12.75" customHeight="1">
      <c r="A5" s="10" t="str">
        <f t="shared" si="1"/>
        <v/>
      </c>
      <c r="B5" s="37">
        <f t="shared" si="2"/>
        <v>2</v>
      </c>
      <c r="C5" s="12" t="s">
        <v>149</v>
      </c>
      <c r="D5" s="12" t="s">
        <v>32</v>
      </c>
      <c r="E5" s="12">
        <f t="shared" si="3"/>
        <v>131</v>
      </c>
      <c r="F5" s="13"/>
      <c r="G5" s="13"/>
      <c r="H5" s="13"/>
      <c r="I5" s="13"/>
      <c r="J5" s="13"/>
      <c r="K5" s="14">
        <v>41.0</v>
      </c>
      <c r="L5" s="14">
        <v>90.0</v>
      </c>
      <c r="M5" s="13"/>
    </row>
    <row r="6" ht="12.75" customHeight="1">
      <c r="A6" s="10" t="str">
        <f t="shared" si="1"/>
        <v/>
      </c>
      <c r="B6" s="37">
        <f t="shared" si="2"/>
        <v>3</v>
      </c>
      <c r="C6" s="12" t="s">
        <v>121</v>
      </c>
      <c r="D6" s="12" t="s">
        <v>63</v>
      </c>
      <c r="E6" s="12">
        <f t="shared" si="3"/>
        <v>107</v>
      </c>
      <c r="F6" s="13"/>
      <c r="G6" s="14">
        <v>18.0</v>
      </c>
      <c r="H6" s="14">
        <v>26.0</v>
      </c>
      <c r="I6" s="13"/>
      <c r="J6" s="13"/>
      <c r="K6" s="13"/>
      <c r="L6" s="14">
        <v>63.0</v>
      </c>
      <c r="M6" s="13"/>
    </row>
    <row r="7" ht="12.75" customHeight="1">
      <c r="A7" s="10" t="str">
        <f t="shared" si="1"/>
        <v/>
      </c>
      <c r="B7" s="37">
        <f t="shared" si="2"/>
        <v>4</v>
      </c>
      <c r="C7" s="12" t="s">
        <v>110</v>
      </c>
      <c r="D7" s="12" t="s">
        <v>111</v>
      </c>
      <c r="E7" s="12">
        <f t="shared" si="3"/>
        <v>92</v>
      </c>
      <c r="F7" s="13"/>
      <c r="G7" s="13"/>
      <c r="H7" s="14">
        <v>43.0</v>
      </c>
      <c r="I7" s="13"/>
      <c r="J7" s="13"/>
      <c r="K7" s="13"/>
      <c r="L7" s="14">
        <v>41.0</v>
      </c>
      <c r="M7" s="14">
        <v>8.0</v>
      </c>
    </row>
    <row r="8" ht="12.75" customHeight="1">
      <c r="A8" s="10"/>
      <c r="B8" s="37">
        <f t="shared" si="2"/>
        <v>5</v>
      </c>
      <c r="C8" s="12" t="s">
        <v>150</v>
      </c>
      <c r="D8" s="12" t="s">
        <v>151</v>
      </c>
      <c r="E8" s="12">
        <f t="shared" si="3"/>
        <v>89</v>
      </c>
      <c r="F8" s="14">
        <v>26.0</v>
      </c>
      <c r="G8" s="13"/>
      <c r="H8" s="13"/>
      <c r="I8" s="13"/>
      <c r="J8" s="13"/>
      <c r="K8" s="14">
        <v>63.0</v>
      </c>
      <c r="L8" s="13"/>
      <c r="M8" s="13"/>
    </row>
    <row r="9" ht="12.75" customHeight="1">
      <c r="A9" s="10" t="str">
        <f t="shared" ref="A9:A12" si="4">IF(B9=B8,"T","")</f>
        <v/>
      </c>
      <c r="B9" s="37">
        <f t="shared" si="2"/>
        <v>6</v>
      </c>
      <c r="C9" s="12" t="s">
        <v>152</v>
      </c>
      <c r="D9" s="12" t="s">
        <v>153</v>
      </c>
      <c r="E9" s="12">
        <f t="shared" si="3"/>
        <v>77</v>
      </c>
      <c r="F9" s="13"/>
      <c r="G9" s="14">
        <v>3.0</v>
      </c>
      <c r="H9" s="14">
        <v>43.0</v>
      </c>
      <c r="I9" s="14">
        <v>8.0</v>
      </c>
      <c r="J9" s="13"/>
      <c r="K9" s="13"/>
      <c r="L9" s="14">
        <v>23.0</v>
      </c>
      <c r="M9" s="13"/>
    </row>
    <row r="10" ht="12.75" customHeight="1">
      <c r="A10" s="10" t="str">
        <f t="shared" si="4"/>
        <v/>
      </c>
      <c r="B10" s="37">
        <f t="shared" si="2"/>
        <v>7</v>
      </c>
      <c r="C10" s="12" t="s">
        <v>98</v>
      </c>
      <c r="D10" s="12" t="s">
        <v>99</v>
      </c>
      <c r="E10" s="12">
        <f t="shared" si="3"/>
        <v>55</v>
      </c>
      <c r="F10" s="13"/>
      <c r="G10" s="13"/>
      <c r="H10" s="13"/>
      <c r="I10" s="13"/>
      <c r="J10" s="13"/>
      <c r="K10" s="13"/>
      <c r="L10" s="14">
        <v>41.0</v>
      </c>
      <c r="M10" s="14">
        <v>14.0</v>
      </c>
    </row>
    <row r="11" ht="12.75" customHeight="1">
      <c r="A11" s="10" t="str">
        <f t="shared" si="4"/>
        <v/>
      </c>
      <c r="B11" s="37">
        <f t="shared" si="2"/>
        <v>8</v>
      </c>
      <c r="C11" s="16" t="s">
        <v>154</v>
      </c>
      <c r="D11" s="12" t="s">
        <v>32</v>
      </c>
      <c r="E11" s="12">
        <f t="shared" si="3"/>
        <v>43</v>
      </c>
      <c r="F11" s="13"/>
      <c r="G11" s="13"/>
      <c r="H11" s="14">
        <v>43.0</v>
      </c>
      <c r="I11" s="13"/>
      <c r="J11" s="13"/>
      <c r="K11" s="13"/>
      <c r="L11" s="13"/>
      <c r="M11" s="13"/>
    </row>
    <row r="12" ht="12.75" customHeight="1">
      <c r="A12" s="10" t="str">
        <f t="shared" si="4"/>
        <v/>
      </c>
      <c r="B12" s="37">
        <f t="shared" si="2"/>
        <v>9</v>
      </c>
      <c r="C12" s="12" t="s">
        <v>124</v>
      </c>
      <c r="D12" s="12" t="s">
        <v>32</v>
      </c>
      <c r="E12" s="12">
        <f t="shared" si="3"/>
        <v>37</v>
      </c>
      <c r="F12" s="13"/>
      <c r="G12" s="14">
        <v>3.0</v>
      </c>
      <c r="H12" s="14">
        <v>26.0</v>
      </c>
      <c r="I12" s="13"/>
      <c r="J12" s="13"/>
      <c r="K12" s="13"/>
      <c r="L12" s="13"/>
      <c r="M12" s="14">
        <v>8.0</v>
      </c>
    </row>
    <row r="13" ht="12.75" customHeight="1">
      <c r="A13" s="10"/>
      <c r="B13" s="37">
        <f t="shared" si="2"/>
        <v>10</v>
      </c>
      <c r="C13" s="12" t="s">
        <v>155</v>
      </c>
      <c r="D13" s="12" t="s">
        <v>57</v>
      </c>
      <c r="E13" s="12">
        <f t="shared" si="3"/>
        <v>32</v>
      </c>
      <c r="F13" s="13"/>
      <c r="G13" s="13"/>
      <c r="H13" s="13"/>
      <c r="I13" s="14">
        <v>32.0</v>
      </c>
      <c r="J13" s="13"/>
      <c r="K13" s="13"/>
      <c r="L13" s="13"/>
      <c r="M13" s="13"/>
    </row>
    <row r="14" ht="12.75" customHeight="1">
      <c r="A14" s="10" t="str">
        <f t="shared" ref="A14:A18" si="5">IF(B14=B13,"T","")</f>
        <v>T</v>
      </c>
      <c r="B14" s="37">
        <f t="shared" si="2"/>
        <v>10</v>
      </c>
      <c r="C14" s="12" t="s">
        <v>156</v>
      </c>
      <c r="D14" s="12" t="s">
        <v>93</v>
      </c>
      <c r="E14" s="12">
        <f t="shared" si="3"/>
        <v>32</v>
      </c>
      <c r="F14" s="13"/>
      <c r="G14" s="13"/>
      <c r="H14" s="13"/>
      <c r="I14" s="13"/>
      <c r="J14" s="13"/>
      <c r="K14" s="13"/>
      <c r="L14" s="13"/>
      <c r="M14" s="14">
        <v>32.0</v>
      </c>
    </row>
    <row r="15" ht="12.75" customHeight="1">
      <c r="A15" s="10" t="str">
        <f t="shared" si="5"/>
        <v/>
      </c>
      <c r="B15" s="37">
        <f t="shared" si="2"/>
        <v>12</v>
      </c>
      <c r="C15" s="12" t="s">
        <v>157</v>
      </c>
      <c r="D15" s="12" t="s">
        <v>55</v>
      </c>
      <c r="E15" s="12">
        <f t="shared" si="3"/>
        <v>30</v>
      </c>
      <c r="F15" s="13"/>
      <c r="G15" s="14">
        <v>7.0</v>
      </c>
      <c r="H15" s="13"/>
      <c r="I15" s="13"/>
      <c r="J15" s="13"/>
      <c r="K15" s="13"/>
      <c r="L15" s="14">
        <v>23.0</v>
      </c>
      <c r="M15" s="13"/>
    </row>
    <row r="16" ht="12.75" customHeight="1">
      <c r="A16" s="10" t="str">
        <f t="shared" si="5"/>
        <v>T</v>
      </c>
      <c r="B16" s="37">
        <f t="shared" si="2"/>
        <v>12</v>
      </c>
      <c r="C16" s="16" t="s">
        <v>158</v>
      </c>
      <c r="D16" s="12" t="s">
        <v>36</v>
      </c>
      <c r="E16" s="12">
        <f t="shared" si="3"/>
        <v>30</v>
      </c>
      <c r="F16" s="14">
        <v>7.0</v>
      </c>
      <c r="G16" s="13"/>
      <c r="H16" s="13"/>
      <c r="I16" s="13"/>
      <c r="J16" s="13"/>
      <c r="K16" s="14">
        <v>23.0</v>
      </c>
      <c r="L16" s="13"/>
      <c r="M16" s="13"/>
    </row>
    <row r="17" ht="12.75" customHeight="1">
      <c r="A17" s="10" t="str">
        <f t="shared" si="5"/>
        <v/>
      </c>
      <c r="B17" s="37">
        <f t="shared" si="2"/>
        <v>14</v>
      </c>
      <c r="C17" s="12" t="s">
        <v>159</v>
      </c>
      <c r="D17" s="12" t="s">
        <v>160</v>
      </c>
      <c r="E17" s="12">
        <f t="shared" si="3"/>
        <v>29</v>
      </c>
      <c r="F17" s="13"/>
      <c r="G17" s="14">
        <v>3.0</v>
      </c>
      <c r="H17" s="14">
        <v>26.0</v>
      </c>
      <c r="I17" s="13"/>
      <c r="J17" s="13"/>
      <c r="K17" s="13"/>
      <c r="L17" s="13"/>
      <c r="M17" s="13"/>
    </row>
    <row r="18" ht="12.75" customHeight="1">
      <c r="A18" s="10" t="str">
        <f t="shared" si="5"/>
        <v/>
      </c>
      <c r="B18" s="37">
        <f t="shared" si="2"/>
        <v>15</v>
      </c>
      <c r="C18" s="12" t="s">
        <v>161</v>
      </c>
      <c r="D18" s="12" t="s">
        <v>160</v>
      </c>
      <c r="E18" s="12">
        <f t="shared" si="3"/>
        <v>26</v>
      </c>
      <c r="F18" s="13"/>
      <c r="G18" s="13"/>
      <c r="H18" s="14">
        <v>26.0</v>
      </c>
      <c r="I18" s="13"/>
      <c r="J18" s="13"/>
      <c r="K18" s="13"/>
      <c r="L18" s="13"/>
      <c r="M18" s="13"/>
    </row>
    <row r="19" ht="12.75" customHeight="1">
      <c r="A19" s="10"/>
      <c r="B19" s="37">
        <f t="shared" si="2"/>
        <v>15</v>
      </c>
      <c r="C19" s="12" t="s">
        <v>112</v>
      </c>
      <c r="D19" s="12" t="s">
        <v>63</v>
      </c>
      <c r="E19" s="12">
        <f t="shared" si="3"/>
        <v>26</v>
      </c>
      <c r="F19" s="13"/>
      <c r="G19" s="14">
        <v>26.0</v>
      </c>
      <c r="H19" s="13"/>
      <c r="I19" s="13"/>
      <c r="J19" s="13"/>
      <c r="K19" s="13"/>
      <c r="L19" s="13"/>
      <c r="M19" s="38"/>
    </row>
    <row r="20" ht="12.75" customHeight="1">
      <c r="A20" s="10" t="str">
        <f t="shared" ref="A20:A26" si="6">IF(B20=B19,"T","")</f>
        <v/>
      </c>
      <c r="B20" s="37">
        <f t="shared" si="2"/>
        <v>17</v>
      </c>
      <c r="C20" s="12" t="s">
        <v>162</v>
      </c>
      <c r="D20" s="12" t="s">
        <v>160</v>
      </c>
      <c r="E20" s="12">
        <f t="shared" si="3"/>
        <v>25</v>
      </c>
      <c r="F20" s="13"/>
      <c r="G20" s="14">
        <v>3.0</v>
      </c>
      <c r="H20" s="13"/>
      <c r="I20" s="13"/>
      <c r="J20" s="13"/>
      <c r="K20" s="13"/>
      <c r="L20" s="13"/>
      <c r="M20" s="14">
        <v>22.0</v>
      </c>
    </row>
    <row r="21" ht="12.75" customHeight="1">
      <c r="A21" s="10" t="str">
        <f t="shared" si="6"/>
        <v/>
      </c>
      <c r="B21" s="37">
        <f t="shared" si="2"/>
        <v>18</v>
      </c>
      <c r="C21" s="16" t="s">
        <v>163</v>
      </c>
      <c r="D21" s="16" t="s">
        <v>153</v>
      </c>
      <c r="E21" s="12">
        <f t="shared" si="3"/>
        <v>23</v>
      </c>
      <c r="F21" s="14"/>
      <c r="G21" s="13"/>
      <c r="H21" s="13"/>
      <c r="I21" s="14"/>
      <c r="J21" s="13"/>
      <c r="K21" s="13"/>
      <c r="L21" s="14">
        <v>23.0</v>
      </c>
      <c r="M21" s="13"/>
    </row>
    <row r="22" ht="12.75" customHeight="1">
      <c r="A22" s="10" t="str">
        <f t="shared" si="6"/>
        <v/>
      </c>
      <c r="B22" s="37">
        <f t="shared" si="2"/>
        <v>19</v>
      </c>
      <c r="C22" s="16" t="s">
        <v>164</v>
      </c>
      <c r="D22" s="16" t="s">
        <v>36</v>
      </c>
      <c r="E22" s="12">
        <f t="shared" si="3"/>
        <v>22</v>
      </c>
      <c r="F22" s="14"/>
      <c r="G22" s="13"/>
      <c r="H22" s="13"/>
      <c r="I22" s="14">
        <v>14.0</v>
      </c>
      <c r="J22" s="13"/>
      <c r="K22" s="13"/>
      <c r="L22" s="13"/>
      <c r="M22" s="14">
        <v>8.0</v>
      </c>
    </row>
    <row r="23" ht="12.75" customHeight="1">
      <c r="A23" s="10" t="str">
        <f t="shared" si="6"/>
        <v/>
      </c>
      <c r="B23" s="37">
        <f t="shared" si="2"/>
        <v>20</v>
      </c>
      <c r="C23" s="12" t="s">
        <v>165</v>
      </c>
      <c r="D23" s="12" t="s">
        <v>45</v>
      </c>
      <c r="E23" s="12">
        <f t="shared" si="3"/>
        <v>18</v>
      </c>
      <c r="F23" s="14">
        <v>18.0</v>
      </c>
      <c r="G23" s="13"/>
      <c r="H23" s="13"/>
      <c r="I23" s="13"/>
      <c r="J23" s="13"/>
      <c r="K23" s="13"/>
      <c r="L23" s="13"/>
      <c r="M23" s="13"/>
    </row>
    <row r="24" ht="12.75" customHeight="1">
      <c r="A24" s="10" t="str">
        <f t="shared" si="6"/>
        <v/>
      </c>
      <c r="B24" s="37">
        <f t="shared" si="2"/>
        <v>21</v>
      </c>
      <c r="C24" s="12" t="s">
        <v>166</v>
      </c>
      <c r="D24" s="12" t="s">
        <v>36</v>
      </c>
      <c r="E24" s="12">
        <f t="shared" si="3"/>
        <v>14</v>
      </c>
      <c r="F24" s="13"/>
      <c r="G24" s="13"/>
      <c r="H24" s="13"/>
      <c r="I24" s="13"/>
      <c r="J24" s="13"/>
      <c r="K24" s="14">
        <v>14.0</v>
      </c>
      <c r="L24" s="13"/>
      <c r="M24" s="13"/>
    </row>
    <row r="25" ht="12.75" customHeight="1">
      <c r="A25" s="10" t="str">
        <f t="shared" si="6"/>
        <v>T</v>
      </c>
      <c r="B25" s="37">
        <f t="shared" si="2"/>
        <v>21</v>
      </c>
      <c r="C25" s="16" t="s">
        <v>167</v>
      </c>
      <c r="D25" s="16" t="s">
        <v>53</v>
      </c>
      <c r="E25" s="12">
        <f t="shared" si="3"/>
        <v>14</v>
      </c>
      <c r="F25" s="13"/>
      <c r="G25" s="13"/>
      <c r="H25" s="13"/>
      <c r="I25" s="13"/>
      <c r="J25" s="13"/>
      <c r="K25" s="14">
        <v>14.0</v>
      </c>
      <c r="L25" s="13"/>
      <c r="M25" s="13"/>
    </row>
    <row r="26" ht="12.75" customHeight="1">
      <c r="A26" s="10" t="str">
        <f t="shared" si="6"/>
        <v>T</v>
      </c>
      <c r="B26" s="37">
        <f t="shared" si="2"/>
        <v>21</v>
      </c>
      <c r="C26" s="16" t="s">
        <v>168</v>
      </c>
      <c r="D26" s="16" t="s">
        <v>169</v>
      </c>
      <c r="E26" s="12">
        <f t="shared" si="3"/>
        <v>14</v>
      </c>
      <c r="F26" s="13"/>
      <c r="G26" s="13"/>
      <c r="H26" s="13"/>
      <c r="I26" s="13"/>
      <c r="J26" s="13"/>
      <c r="K26" s="13"/>
      <c r="L26" s="14">
        <v>14.0</v>
      </c>
      <c r="M26" s="13"/>
    </row>
    <row r="27" ht="12.75" customHeight="1">
      <c r="A27" s="10"/>
      <c r="B27" s="37">
        <f t="shared" si="2"/>
        <v>21</v>
      </c>
      <c r="C27" s="16" t="s">
        <v>170</v>
      </c>
      <c r="D27" s="16" t="s">
        <v>36</v>
      </c>
      <c r="E27" s="12">
        <f t="shared" si="3"/>
        <v>14</v>
      </c>
      <c r="F27" s="14"/>
      <c r="G27" s="13"/>
      <c r="H27" s="13"/>
      <c r="I27" s="14"/>
      <c r="J27" s="13"/>
      <c r="K27" s="13"/>
      <c r="L27" s="14">
        <v>14.0</v>
      </c>
      <c r="M27" s="13"/>
    </row>
    <row r="28" ht="12.75" customHeight="1">
      <c r="A28" s="10" t="str">
        <f>IF(B28=B27,"T","")</f>
        <v/>
      </c>
      <c r="B28" s="37">
        <f t="shared" si="2"/>
        <v>25</v>
      </c>
      <c r="C28" s="12" t="s">
        <v>171</v>
      </c>
      <c r="D28" s="12" t="s">
        <v>61</v>
      </c>
      <c r="E28" s="12">
        <f t="shared" si="3"/>
        <v>12</v>
      </c>
      <c r="F28" s="13"/>
      <c r="G28" s="14">
        <v>12.0</v>
      </c>
      <c r="H28" s="13"/>
      <c r="I28" s="13"/>
      <c r="J28" s="13"/>
      <c r="K28" s="13"/>
      <c r="L28" s="13"/>
      <c r="M28" s="13"/>
    </row>
    <row r="29" ht="12.75" customHeight="1">
      <c r="A29" s="10" t="str">
        <f>IF(B29=B27,"T","")</f>
        <v/>
      </c>
      <c r="B29" s="37">
        <f t="shared" si="2"/>
        <v>25</v>
      </c>
      <c r="C29" s="12" t="s">
        <v>172</v>
      </c>
      <c r="D29" s="12" t="s">
        <v>63</v>
      </c>
      <c r="E29" s="12">
        <f t="shared" si="3"/>
        <v>12</v>
      </c>
      <c r="F29" s="14"/>
      <c r="G29" s="14">
        <v>12.0</v>
      </c>
      <c r="H29" s="13"/>
      <c r="I29" s="13"/>
      <c r="J29" s="13"/>
      <c r="K29" s="13"/>
      <c r="L29" s="13"/>
      <c r="M29" s="13"/>
    </row>
    <row r="30" ht="12.75" customHeight="1">
      <c r="A30" s="10" t="str">
        <f t="shared" ref="A30:A37" si="7">IF(B30=B29,"T","")</f>
        <v/>
      </c>
      <c r="B30" s="37">
        <f t="shared" si="2"/>
        <v>27</v>
      </c>
      <c r="C30" s="16" t="s">
        <v>173</v>
      </c>
      <c r="D30" s="12" t="s">
        <v>61</v>
      </c>
      <c r="E30" s="12">
        <f t="shared" si="3"/>
        <v>11</v>
      </c>
      <c r="F30" s="14"/>
      <c r="G30" s="14">
        <v>3.0</v>
      </c>
      <c r="H30" s="13"/>
      <c r="I30" s="13"/>
      <c r="J30" s="13"/>
      <c r="K30" s="13"/>
      <c r="L30" s="13"/>
      <c r="M30" s="14">
        <v>8.0</v>
      </c>
    </row>
    <row r="31" ht="12.75" customHeight="1">
      <c r="A31" s="10" t="str">
        <f t="shared" si="7"/>
        <v/>
      </c>
      <c r="B31" s="37">
        <f t="shared" si="2"/>
        <v>28</v>
      </c>
      <c r="C31" s="16" t="s">
        <v>116</v>
      </c>
      <c r="D31" s="16" t="s">
        <v>174</v>
      </c>
      <c r="E31" s="12">
        <f t="shared" si="3"/>
        <v>8</v>
      </c>
      <c r="F31" s="14"/>
      <c r="G31" s="13"/>
      <c r="H31" s="13"/>
      <c r="I31" s="14">
        <v>8.0</v>
      </c>
      <c r="J31" s="13"/>
      <c r="K31" s="13"/>
      <c r="L31" s="13"/>
      <c r="M31" s="13"/>
    </row>
    <row r="32" ht="12.75" customHeight="1">
      <c r="A32" s="10" t="str">
        <f t="shared" si="7"/>
        <v>T</v>
      </c>
      <c r="B32" s="37">
        <f t="shared" si="2"/>
        <v>28</v>
      </c>
      <c r="C32" s="16" t="s">
        <v>175</v>
      </c>
      <c r="D32" s="16" t="s">
        <v>176</v>
      </c>
      <c r="E32" s="12">
        <f t="shared" si="3"/>
        <v>8</v>
      </c>
      <c r="F32" s="14"/>
      <c r="G32" s="14"/>
      <c r="H32" s="13"/>
      <c r="I32" s="14">
        <v>8.0</v>
      </c>
      <c r="J32" s="13"/>
      <c r="K32" s="13"/>
      <c r="L32" s="13"/>
      <c r="M32" s="13"/>
    </row>
    <row r="33" ht="12.75" customHeight="1">
      <c r="A33" s="10" t="str">
        <f t="shared" si="7"/>
        <v/>
      </c>
      <c r="B33" s="37">
        <f t="shared" si="2"/>
        <v>30</v>
      </c>
      <c r="C33" s="12" t="s">
        <v>177</v>
      </c>
      <c r="D33" s="12" t="s">
        <v>26</v>
      </c>
      <c r="E33" s="12">
        <f t="shared" si="3"/>
        <v>7</v>
      </c>
      <c r="F33" s="14">
        <v>7.0</v>
      </c>
      <c r="G33" s="13"/>
      <c r="H33" s="13"/>
      <c r="I33" s="13"/>
      <c r="J33" s="13"/>
      <c r="K33" s="13"/>
      <c r="L33" s="13"/>
      <c r="M33" s="13"/>
    </row>
    <row r="34" ht="12.75" customHeight="1">
      <c r="A34" s="10" t="str">
        <f t="shared" si="7"/>
        <v>T</v>
      </c>
      <c r="B34" s="37">
        <f t="shared" si="2"/>
        <v>30</v>
      </c>
      <c r="C34" s="12" t="s">
        <v>109</v>
      </c>
      <c r="D34" s="12" t="s">
        <v>32</v>
      </c>
      <c r="E34" s="12">
        <f t="shared" si="3"/>
        <v>7</v>
      </c>
      <c r="F34" s="13"/>
      <c r="G34" s="14">
        <v>7.0</v>
      </c>
      <c r="H34" s="13"/>
      <c r="I34" s="13"/>
      <c r="J34" s="13"/>
      <c r="K34" s="13"/>
      <c r="L34" s="13"/>
      <c r="M34" s="13"/>
    </row>
    <row r="35" ht="12.75" customHeight="1">
      <c r="A35" s="10" t="str">
        <f t="shared" si="7"/>
        <v>T</v>
      </c>
      <c r="B35" s="37">
        <f t="shared" si="2"/>
        <v>30</v>
      </c>
      <c r="C35" s="12" t="s">
        <v>178</v>
      </c>
      <c r="D35" s="12" t="s">
        <v>179</v>
      </c>
      <c r="E35" s="12">
        <f t="shared" si="3"/>
        <v>7</v>
      </c>
      <c r="F35" s="14"/>
      <c r="G35" s="14">
        <v>7.0</v>
      </c>
      <c r="H35" s="13"/>
      <c r="I35" s="13"/>
      <c r="J35" s="13"/>
      <c r="K35" s="13"/>
      <c r="L35" s="13"/>
      <c r="M35" s="13"/>
    </row>
    <row r="36" ht="12.75" customHeight="1">
      <c r="A36" s="10" t="str">
        <f t="shared" si="7"/>
        <v/>
      </c>
      <c r="B36" s="37">
        <f t="shared" si="2"/>
        <v>33</v>
      </c>
      <c r="C36" s="16" t="s">
        <v>180</v>
      </c>
      <c r="D36" s="16" t="s">
        <v>20</v>
      </c>
      <c r="E36" s="12">
        <f t="shared" si="3"/>
        <v>3</v>
      </c>
      <c r="F36" s="14"/>
      <c r="G36" s="14">
        <v>3.0</v>
      </c>
      <c r="H36" s="13"/>
      <c r="I36" s="13"/>
      <c r="J36" s="13"/>
      <c r="K36" s="13"/>
      <c r="L36" s="13"/>
      <c r="M36" s="13"/>
    </row>
    <row r="37" ht="12.75" customHeight="1">
      <c r="A37" s="10" t="str">
        <f t="shared" si="7"/>
        <v>T</v>
      </c>
      <c r="B37" s="37">
        <f t="shared" si="2"/>
        <v>33</v>
      </c>
      <c r="C37" s="16" t="s">
        <v>90</v>
      </c>
      <c r="D37" s="16" t="s">
        <v>91</v>
      </c>
      <c r="E37" s="12">
        <f t="shared" si="3"/>
        <v>3</v>
      </c>
      <c r="F37" s="14"/>
      <c r="G37" s="14">
        <v>3.0</v>
      </c>
      <c r="H37" s="13"/>
      <c r="I37" s="13"/>
      <c r="J37" s="13"/>
      <c r="K37" s="13"/>
      <c r="L37" s="13"/>
      <c r="M37" s="13"/>
    </row>
    <row r="38" ht="12.75" customHeight="1">
      <c r="A38" s="10"/>
      <c r="B38" s="37"/>
      <c r="C38" s="12"/>
      <c r="D38" s="12"/>
      <c r="E38" s="12"/>
      <c r="F38" s="13"/>
      <c r="G38" s="13"/>
      <c r="H38" s="13"/>
      <c r="I38" s="13"/>
      <c r="J38" s="13"/>
      <c r="K38" s="13"/>
      <c r="L38" s="13"/>
      <c r="M38" s="13"/>
    </row>
    <row r="39" ht="12.75" customHeight="1">
      <c r="A39" s="10"/>
      <c r="B39" s="37"/>
      <c r="C39" s="12"/>
      <c r="D39" s="12"/>
      <c r="E39" s="12"/>
      <c r="F39" s="13"/>
      <c r="G39" s="13"/>
      <c r="H39" s="13"/>
      <c r="I39" s="13"/>
      <c r="J39" s="13"/>
      <c r="K39" s="13"/>
      <c r="L39" s="13"/>
      <c r="M39" s="13"/>
    </row>
    <row r="40" ht="12.75" customHeight="1">
      <c r="A40" s="10"/>
      <c r="B40" s="37"/>
      <c r="C40" s="12"/>
      <c r="D40" s="12"/>
      <c r="E40" s="12"/>
      <c r="F40" s="13"/>
      <c r="G40" s="13"/>
      <c r="H40" s="13"/>
      <c r="I40" s="13"/>
      <c r="J40" s="13"/>
      <c r="K40" s="13"/>
      <c r="L40" s="13"/>
      <c r="M40" s="13"/>
    </row>
    <row r="41" ht="12.75" customHeight="1">
      <c r="A41" s="10"/>
      <c r="B41" s="37"/>
      <c r="C41" s="12"/>
      <c r="D41" s="12"/>
      <c r="E41" s="12"/>
      <c r="F41" s="13"/>
      <c r="G41" s="13"/>
      <c r="H41" s="13"/>
      <c r="I41" s="13"/>
      <c r="J41" s="13"/>
      <c r="K41" s="13"/>
      <c r="L41" s="13"/>
      <c r="M41" s="13"/>
    </row>
    <row r="42" ht="12.75" customHeight="1">
      <c r="A42" s="10"/>
      <c r="B42" s="37"/>
      <c r="C42" s="39"/>
      <c r="D42" s="16"/>
      <c r="E42" s="12"/>
      <c r="F42" s="14"/>
      <c r="G42" s="13"/>
      <c r="H42" s="13"/>
      <c r="I42" s="14"/>
      <c r="J42" s="13"/>
      <c r="K42" s="13"/>
      <c r="L42" s="13"/>
      <c r="M42" s="13"/>
    </row>
    <row r="43" ht="12.75" customHeight="1">
      <c r="B43" s="40"/>
      <c r="F43" s="41"/>
      <c r="G43" s="41"/>
    </row>
    <row r="44" ht="12.75" customHeight="1">
      <c r="B44" s="40"/>
      <c r="F44" s="41"/>
      <c r="G44" s="41"/>
    </row>
    <row r="45" ht="12.75" customHeight="1">
      <c r="A45" s="19" t="s">
        <v>137</v>
      </c>
      <c r="B45" s="20"/>
      <c r="C45" s="21" t="s">
        <v>138</v>
      </c>
      <c r="D45" s="22"/>
      <c r="E45" s="22"/>
      <c r="F45" s="22"/>
      <c r="G45" s="22"/>
      <c r="H45" s="22"/>
      <c r="I45" s="22"/>
      <c r="J45" s="22"/>
      <c r="K45" s="22"/>
      <c r="L45" s="22"/>
      <c r="M45" s="23"/>
    </row>
    <row r="46" ht="12.75" customHeight="1">
      <c r="A46" s="19" t="s">
        <v>137</v>
      </c>
      <c r="B46" s="24"/>
      <c r="C46" s="25" t="s">
        <v>139</v>
      </c>
      <c r="D46" s="22"/>
      <c r="E46" s="22"/>
      <c r="F46" s="22"/>
      <c r="G46" s="22"/>
      <c r="H46" s="22"/>
      <c r="I46" s="22"/>
      <c r="J46" s="22"/>
      <c r="K46" s="22"/>
      <c r="L46" s="22"/>
      <c r="M46" s="23"/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4">
    <mergeCell ref="F2:M2"/>
    <mergeCell ref="A3:B3"/>
    <mergeCell ref="C45:M45"/>
    <mergeCell ref="C46:M4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88"/>
    <col customWidth="1" min="3" max="3" width="12.38"/>
    <col customWidth="1" min="4" max="4" width="15.63"/>
    <col customWidth="1" min="5" max="5" width="5.5"/>
    <col customWidth="1" min="6" max="6" width="7.5"/>
    <col customWidth="1" min="7" max="7" width="7.25"/>
    <col customWidth="1" min="8" max="10" width="7.5"/>
    <col customWidth="1" min="11" max="11" width="7.63"/>
    <col customWidth="1" min="12" max="14" width="8.0"/>
  </cols>
  <sheetData>
    <row r="1" ht="16.5" customHeight="1">
      <c r="B1" s="26" t="s">
        <v>181</v>
      </c>
    </row>
    <row r="2" ht="12.75" customHeight="1">
      <c r="A2" s="27"/>
      <c r="B2" s="28"/>
      <c r="C2" s="5"/>
      <c r="D2" s="5"/>
      <c r="E2" s="5"/>
      <c r="F2" s="42"/>
      <c r="G2" s="34"/>
      <c r="H2" s="34"/>
      <c r="I2" s="34"/>
      <c r="J2" s="34"/>
      <c r="K2" s="35"/>
    </row>
    <row r="3" ht="12.75" customHeight="1">
      <c r="A3" s="30" t="s">
        <v>1</v>
      </c>
      <c r="B3" s="31"/>
      <c r="C3" s="32" t="s">
        <v>2</v>
      </c>
      <c r="D3" s="32" t="s">
        <v>3</v>
      </c>
      <c r="E3" s="32" t="s">
        <v>4</v>
      </c>
      <c r="F3" s="29" t="s">
        <v>142</v>
      </c>
      <c r="G3" s="29" t="s">
        <v>11</v>
      </c>
      <c r="H3" s="29" t="s">
        <v>13</v>
      </c>
      <c r="I3" s="7" t="s">
        <v>182</v>
      </c>
      <c r="J3" s="29" t="s">
        <v>17</v>
      </c>
      <c r="K3" s="29"/>
    </row>
    <row r="4" ht="12.75" customHeight="1">
      <c r="A4" s="10" t="str">
        <f t="shared" ref="A4:A20" si="1">IF(B4=B3,"T","")</f>
        <v/>
      </c>
      <c r="B4" s="11">
        <f t="shared" ref="B4:B20" si="2">RANK(E4,$E$4:$E$22,0)</f>
        <v>1</v>
      </c>
      <c r="C4" s="12" t="s">
        <v>172</v>
      </c>
      <c r="D4" s="12" t="s">
        <v>63</v>
      </c>
      <c r="E4" s="12">
        <f t="shared" ref="E4:E20" si="3">SUM(F4:K4)</f>
        <v>173</v>
      </c>
      <c r="F4" s="13">
        <v>119.0</v>
      </c>
      <c r="G4" s="13"/>
      <c r="H4" s="14">
        <v>22.0</v>
      </c>
      <c r="I4" s="13"/>
      <c r="J4" s="14">
        <v>32.0</v>
      </c>
      <c r="K4" s="12"/>
    </row>
    <row r="5" ht="12.75" customHeight="1">
      <c r="A5" s="10" t="str">
        <f t="shared" si="1"/>
        <v/>
      </c>
      <c r="B5" s="11">
        <f t="shared" si="2"/>
        <v>2</v>
      </c>
      <c r="C5" s="12" t="s">
        <v>183</v>
      </c>
      <c r="D5" s="12" t="s">
        <v>45</v>
      </c>
      <c r="E5" s="12">
        <f t="shared" si="3"/>
        <v>109</v>
      </c>
      <c r="F5" s="14">
        <v>77.0</v>
      </c>
      <c r="G5" s="13"/>
      <c r="H5" s="13"/>
      <c r="I5" s="14">
        <v>32.0</v>
      </c>
      <c r="J5" s="13"/>
      <c r="K5" s="12"/>
    </row>
    <row r="6" ht="12.75" customHeight="1">
      <c r="A6" s="10" t="str">
        <f t="shared" si="1"/>
        <v/>
      </c>
      <c r="B6" s="11">
        <f t="shared" si="2"/>
        <v>3</v>
      </c>
      <c r="C6" s="12" t="s">
        <v>112</v>
      </c>
      <c r="D6" s="12" t="s">
        <v>63</v>
      </c>
      <c r="E6" s="12">
        <f t="shared" si="3"/>
        <v>99</v>
      </c>
      <c r="F6" s="14">
        <v>77.0</v>
      </c>
      <c r="G6" s="13"/>
      <c r="H6" s="14">
        <v>8.0</v>
      </c>
      <c r="I6" s="13"/>
      <c r="J6" s="14">
        <v>14.0</v>
      </c>
      <c r="K6" s="12"/>
    </row>
    <row r="7" ht="12.75" customHeight="1">
      <c r="A7" s="10" t="str">
        <f t="shared" si="1"/>
        <v/>
      </c>
      <c r="B7" s="11">
        <f t="shared" si="2"/>
        <v>4</v>
      </c>
      <c r="C7" s="12" t="s">
        <v>116</v>
      </c>
      <c r="D7" s="12" t="s">
        <v>117</v>
      </c>
      <c r="E7" s="12">
        <f t="shared" si="3"/>
        <v>62</v>
      </c>
      <c r="F7" s="14">
        <v>26.0</v>
      </c>
      <c r="G7" s="14">
        <v>14.0</v>
      </c>
      <c r="H7" s="14">
        <v>8.0</v>
      </c>
      <c r="I7" s="13"/>
      <c r="J7" s="14">
        <v>14.0</v>
      </c>
      <c r="K7" s="12"/>
    </row>
    <row r="8" ht="12.75" customHeight="1">
      <c r="A8" s="10" t="str">
        <f t="shared" si="1"/>
        <v/>
      </c>
      <c r="B8" s="11">
        <f t="shared" si="2"/>
        <v>5</v>
      </c>
      <c r="C8" s="12" t="s">
        <v>178</v>
      </c>
      <c r="D8" s="12" t="s">
        <v>179</v>
      </c>
      <c r="E8" s="12">
        <f t="shared" si="3"/>
        <v>57</v>
      </c>
      <c r="F8" s="13">
        <v>43.0</v>
      </c>
      <c r="G8" s="13"/>
      <c r="H8" s="14">
        <v>14.0</v>
      </c>
      <c r="I8" s="13"/>
      <c r="J8" s="13"/>
      <c r="K8" s="12"/>
    </row>
    <row r="9" ht="12.75" customHeight="1">
      <c r="A9" s="10" t="str">
        <f t="shared" si="1"/>
        <v/>
      </c>
      <c r="B9" s="11">
        <f t="shared" si="2"/>
        <v>6</v>
      </c>
      <c r="C9" s="12" t="s">
        <v>89</v>
      </c>
      <c r="D9" s="12" t="s">
        <v>63</v>
      </c>
      <c r="E9" s="12">
        <f t="shared" si="3"/>
        <v>43</v>
      </c>
      <c r="F9" s="13">
        <v>43.0</v>
      </c>
      <c r="G9" s="13"/>
      <c r="H9" s="13"/>
      <c r="I9" s="13"/>
      <c r="J9" s="13"/>
      <c r="K9" s="12"/>
    </row>
    <row r="10" ht="12.75" customHeight="1">
      <c r="A10" s="10" t="str">
        <f t="shared" si="1"/>
        <v/>
      </c>
      <c r="B10" s="11">
        <f t="shared" si="2"/>
        <v>7</v>
      </c>
      <c r="C10" s="12" t="s">
        <v>150</v>
      </c>
      <c r="D10" s="12" t="s">
        <v>151</v>
      </c>
      <c r="E10" s="12">
        <f t="shared" si="3"/>
        <v>32</v>
      </c>
      <c r="F10" s="13"/>
      <c r="G10" s="14">
        <v>32.0</v>
      </c>
      <c r="H10" s="13"/>
      <c r="I10" s="13"/>
      <c r="J10" s="13"/>
      <c r="K10" s="12"/>
    </row>
    <row r="11" ht="12.75" customHeight="1">
      <c r="A11" s="10" t="str">
        <f t="shared" si="1"/>
        <v>T</v>
      </c>
      <c r="B11" s="11">
        <f t="shared" si="2"/>
        <v>7</v>
      </c>
      <c r="C11" s="17" t="s">
        <v>92</v>
      </c>
      <c r="D11" s="17" t="s">
        <v>93</v>
      </c>
      <c r="E11" s="12">
        <f t="shared" si="3"/>
        <v>32</v>
      </c>
      <c r="F11" s="13"/>
      <c r="G11" s="13"/>
      <c r="H11" s="14">
        <v>32.0</v>
      </c>
      <c r="I11" s="13"/>
      <c r="J11" s="13"/>
      <c r="K11" s="12"/>
    </row>
    <row r="12" ht="12.75" customHeight="1">
      <c r="A12" s="10" t="str">
        <f t="shared" si="1"/>
        <v/>
      </c>
      <c r="B12" s="11">
        <f t="shared" si="2"/>
        <v>9</v>
      </c>
      <c r="C12" s="12" t="s">
        <v>184</v>
      </c>
      <c r="D12" s="16" t="s">
        <v>185</v>
      </c>
      <c r="E12" s="12">
        <f t="shared" si="3"/>
        <v>30</v>
      </c>
      <c r="F12" s="13"/>
      <c r="G12" s="14">
        <v>8.0</v>
      </c>
      <c r="H12" s="13"/>
      <c r="I12" s="14">
        <v>22.0</v>
      </c>
      <c r="J12" s="13"/>
      <c r="K12" s="12"/>
    </row>
    <row r="13" ht="12.75" customHeight="1">
      <c r="A13" s="10" t="str">
        <f t="shared" si="1"/>
        <v/>
      </c>
      <c r="B13" s="11">
        <f t="shared" si="2"/>
        <v>10</v>
      </c>
      <c r="C13" s="12" t="s">
        <v>186</v>
      </c>
      <c r="D13" s="12" t="s">
        <v>187</v>
      </c>
      <c r="E13" s="12">
        <f t="shared" si="3"/>
        <v>22</v>
      </c>
      <c r="F13" s="13"/>
      <c r="G13" s="14">
        <v>22.0</v>
      </c>
      <c r="H13" s="13"/>
      <c r="I13" s="13"/>
      <c r="J13" s="13"/>
      <c r="K13" s="12"/>
    </row>
    <row r="14" ht="12.75" customHeight="1">
      <c r="A14" s="10" t="str">
        <f t="shared" si="1"/>
        <v>T</v>
      </c>
      <c r="B14" s="11">
        <f t="shared" si="2"/>
        <v>10</v>
      </c>
      <c r="C14" s="16" t="s">
        <v>121</v>
      </c>
      <c r="D14" s="12" t="s">
        <v>63</v>
      </c>
      <c r="E14" s="12">
        <f t="shared" si="3"/>
        <v>22</v>
      </c>
      <c r="F14" s="13"/>
      <c r="G14" s="13"/>
      <c r="H14" s="13"/>
      <c r="I14" s="13"/>
      <c r="J14" s="14">
        <v>22.0</v>
      </c>
      <c r="K14" s="12"/>
    </row>
    <row r="15" ht="12.75" customHeight="1">
      <c r="A15" s="10" t="str">
        <f t="shared" si="1"/>
        <v/>
      </c>
      <c r="B15" s="11">
        <f t="shared" si="2"/>
        <v>12</v>
      </c>
      <c r="C15" s="16" t="s">
        <v>188</v>
      </c>
      <c r="D15" s="16" t="s">
        <v>36</v>
      </c>
      <c r="E15" s="12">
        <f t="shared" si="3"/>
        <v>16</v>
      </c>
      <c r="F15" s="13"/>
      <c r="G15" s="14">
        <v>8.0</v>
      </c>
      <c r="H15" s="13"/>
      <c r="I15" s="14">
        <v>8.0</v>
      </c>
      <c r="J15" s="13"/>
      <c r="K15" s="12"/>
    </row>
    <row r="16" ht="12.75" customHeight="1">
      <c r="A16" s="10" t="str">
        <f t="shared" si="1"/>
        <v/>
      </c>
      <c r="B16" s="11">
        <f t="shared" si="2"/>
        <v>13</v>
      </c>
      <c r="C16" s="16" t="s">
        <v>189</v>
      </c>
      <c r="D16" s="16" t="s">
        <v>36</v>
      </c>
      <c r="E16" s="12">
        <f t="shared" si="3"/>
        <v>14</v>
      </c>
      <c r="F16" s="13"/>
      <c r="G16" s="14">
        <v>14.0</v>
      </c>
      <c r="H16" s="13"/>
      <c r="I16" s="13"/>
      <c r="J16" s="13"/>
      <c r="K16" s="12"/>
    </row>
    <row r="17" ht="12.75" customHeight="1">
      <c r="A17" s="10" t="str">
        <f t="shared" si="1"/>
        <v>T</v>
      </c>
      <c r="B17" s="11">
        <f t="shared" si="2"/>
        <v>13</v>
      </c>
      <c r="C17" s="16" t="s">
        <v>190</v>
      </c>
      <c r="D17" s="16" t="s">
        <v>191</v>
      </c>
      <c r="E17" s="12">
        <f t="shared" si="3"/>
        <v>14</v>
      </c>
      <c r="F17" s="13"/>
      <c r="G17" s="13"/>
      <c r="H17" s="13"/>
      <c r="I17" s="14">
        <v>14.0</v>
      </c>
      <c r="J17" s="13"/>
      <c r="K17" s="12"/>
    </row>
    <row r="18" ht="12.75" customHeight="1">
      <c r="A18" s="10" t="str">
        <f t="shared" si="1"/>
        <v/>
      </c>
      <c r="B18" s="11">
        <f t="shared" si="2"/>
        <v>15</v>
      </c>
      <c r="C18" s="16" t="s">
        <v>192</v>
      </c>
      <c r="D18" s="16" t="s">
        <v>36</v>
      </c>
      <c r="E18" s="12">
        <f t="shared" si="3"/>
        <v>8</v>
      </c>
      <c r="F18" s="13"/>
      <c r="G18" s="14">
        <v>8.0</v>
      </c>
      <c r="H18" s="13"/>
      <c r="I18" s="13"/>
      <c r="J18" s="13"/>
      <c r="K18" s="12"/>
    </row>
    <row r="19" ht="12.75" customHeight="1">
      <c r="A19" s="10" t="str">
        <f t="shared" si="1"/>
        <v>T</v>
      </c>
      <c r="B19" s="11">
        <f t="shared" si="2"/>
        <v>15</v>
      </c>
      <c r="C19" s="17" t="s">
        <v>193</v>
      </c>
      <c r="D19" s="17" t="s">
        <v>55</v>
      </c>
      <c r="E19" s="12">
        <f t="shared" si="3"/>
        <v>8</v>
      </c>
      <c r="F19" s="13"/>
      <c r="G19" s="13"/>
      <c r="H19" s="14">
        <v>8.0</v>
      </c>
      <c r="I19" s="13"/>
      <c r="J19" s="13"/>
      <c r="K19" s="12"/>
    </row>
    <row r="20" ht="12.75" customHeight="1">
      <c r="A20" s="10" t="str">
        <f t="shared" si="1"/>
        <v>T</v>
      </c>
      <c r="B20" s="11">
        <f t="shared" si="2"/>
        <v>15</v>
      </c>
      <c r="C20" s="16" t="s">
        <v>194</v>
      </c>
      <c r="D20" s="16" t="s">
        <v>195</v>
      </c>
      <c r="E20" s="12">
        <f t="shared" si="3"/>
        <v>8</v>
      </c>
      <c r="F20" s="13"/>
      <c r="G20" s="13"/>
      <c r="H20" s="13"/>
      <c r="I20" s="14">
        <v>8.0</v>
      </c>
      <c r="J20" s="13"/>
      <c r="K20" s="16"/>
    </row>
    <row r="21" ht="12.75" customHeight="1">
      <c r="A21" s="10"/>
      <c r="B21" s="11"/>
      <c r="C21" s="12"/>
      <c r="D21" s="12"/>
      <c r="E21" s="12"/>
      <c r="F21" s="13"/>
      <c r="G21" s="13"/>
      <c r="H21" s="13"/>
      <c r="I21" s="13"/>
      <c r="J21" s="13"/>
      <c r="K21" s="12"/>
    </row>
    <row r="22" ht="12.75" customHeight="1">
      <c r="A22" s="10"/>
      <c r="B22" s="11"/>
      <c r="C22" s="16"/>
      <c r="D22" s="12"/>
      <c r="E22" s="12"/>
      <c r="F22" s="13"/>
      <c r="G22" s="13"/>
      <c r="H22" s="13"/>
      <c r="I22" s="13"/>
      <c r="J22" s="13"/>
      <c r="K22" s="12"/>
    </row>
    <row r="23" ht="12.75" customHeight="1"/>
    <row r="24" ht="12.75" customHeight="1"/>
    <row r="25" ht="12.75" customHeight="1">
      <c r="A25" s="19" t="s">
        <v>137</v>
      </c>
      <c r="B25" s="20"/>
      <c r="C25" s="21" t="s">
        <v>138</v>
      </c>
      <c r="D25" s="22"/>
      <c r="E25" s="22"/>
      <c r="F25" s="22"/>
      <c r="G25" s="22"/>
      <c r="H25" s="22"/>
      <c r="I25" s="22"/>
      <c r="J25" s="22"/>
      <c r="K25" s="23"/>
    </row>
    <row r="26" ht="12.75" customHeight="1">
      <c r="A26" s="19" t="s">
        <v>137</v>
      </c>
      <c r="B26" s="24"/>
      <c r="C26" s="25" t="s">
        <v>139</v>
      </c>
      <c r="D26" s="22"/>
      <c r="E26" s="22"/>
      <c r="F26" s="22"/>
      <c r="G26" s="22"/>
      <c r="H26" s="22"/>
      <c r="I26" s="22"/>
      <c r="J26" s="22"/>
      <c r="K26" s="23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4">
    <mergeCell ref="F2:K2"/>
    <mergeCell ref="A3:B3"/>
    <mergeCell ref="C25:K25"/>
    <mergeCell ref="C26:K2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88"/>
    <col customWidth="1" min="3" max="3" width="12.0"/>
    <col customWidth="1" min="4" max="4" width="15.63"/>
    <col customWidth="1" min="5" max="5" width="5.5"/>
    <col customWidth="1" min="6" max="9" width="8.13"/>
    <col customWidth="1" min="10" max="10" width="7.25"/>
    <col customWidth="1" min="11" max="11" width="8.13"/>
    <col customWidth="1" min="12" max="12" width="7.25"/>
    <col customWidth="1" min="13" max="13" width="8.13"/>
    <col customWidth="1" min="14" max="18" width="8.0"/>
  </cols>
  <sheetData>
    <row r="1" ht="16.5" customHeight="1">
      <c r="B1" s="26" t="s">
        <v>196</v>
      </c>
    </row>
    <row r="2" ht="12.75" customHeight="1">
      <c r="A2" s="27"/>
      <c r="B2" s="28"/>
      <c r="C2" s="5"/>
      <c r="D2" s="5"/>
      <c r="E2" s="5"/>
      <c r="F2" s="42" t="s">
        <v>141</v>
      </c>
      <c r="G2" s="34"/>
      <c r="H2" s="34"/>
      <c r="I2" s="34"/>
      <c r="J2" s="34"/>
      <c r="K2" s="34"/>
      <c r="L2" s="34"/>
      <c r="M2" s="35"/>
    </row>
    <row r="3" ht="12.75" customHeight="1">
      <c r="A3" s="30" t="s">
        <v>1</v>
      </c>
      <c r="B3" s="31"/>
      <c r="C3" s="43" t="s">
        <v>2</v>
      </c>
      <c r="D3" s="43" t="s">
        <v>3</v>
      </c>
      <c r="E3" s="32" t="s">
        <v>4</v>
      </c>
      <c r="F3" s="44" t="s">
        <v>5</v>
      </c>
      <c r="G3" s="44" t="s">
        <v>7</v>
      </c>
      <c r="H3" s="29" t="s">
        <v>197</v>
      </c>
      <c r="I3" s="29" t="s">
        <v>11</v>
      </c>
      <c r="J3" s="29" t="s">
        <v>12</v>
      </c>
      <c r="K3" s="29" t="s">
        <v>13</v>
      </c>
      <c r="L3" s="45" t="s">
        <v>16</v>
      </c>
      <c r="M3" s="29" t="s">
        <v>198</v>
      </c>
    </row>
    <row r="4" ht="12.75" customHeight="1">
      <c r="A4" s="10" t="str">
        <f t="shared" ref="A4:A26" si="1">IF(B4=B3,"T","")</f>
        <v/>
      </c>
      <c r="B4" s="37">
        <f t="shared" ref="B4:B26" si="2">RANK(E4,$E$4:$E$33,0)</f>
        <v>1</v>
      </c>
      <c r="C4" s="16" t="s">
        <v>199</v>
      </c>
      <c r="D4" s="12" t="s">
        <v>200</v>
      </c>
      <c r="E4" s="12">
        <f t="shared" ref="E4:E26" si="3">SUM(F4:M4)</f>
        <v>356</v>
      </c>
      <c r="F4" s="14">
        <v>26.0</v>
      </c>
      <c r="G4" s="13"/>
      <c r="H4" s="14">
        <v>32.0</v>
      </c>
      <c r="I4" s="14">
        <v>32.0</v>
      </c>
      <c r="J4" s="14">
        <v>170.0</v>
      </c>
      <c r="K4" s="14">
        <v>32.0</v>
      </c>
      <c r="L4" s="13">
        <v>32.0</v>
      </c>
      <c r="M4" s="14">
        <v>32.0</v>
      </c>
    </row>
    <row r="5" ht="12.75" customHeight="1">
      <c r="A5" s="10" t="str">
        <f t="shared" si="1"/>
        <v/>
      </c>
      <c r="B5" s="37">
        <f t="shared" si="2"/>
        <v>2</v>
      </c>
      <c r="C5" s="12" t="s">
        <v>201</v>
      </c>
      <c r="D5" s="12" t="s">
        <v>202</v>
      </c>
      <c r="E5" s="12">
        <f t="shared" si="3"/>
        <v>224</v>
      </c>
      <c r="F5" s="13"/>
      <c r="G5" s="14">
        <v>3.0</v>
      </c>
      <c r="H5" s="14">
        <v>22.0</v>
      </c>
      <c r="I5" s="14">
        <v>22.0</v>
      </c>
      <c r="J5" s="14">
        <v>119.0</v>
      </c>
      <c r="K5" s="14">
        <v>14.0</v>
      </c>
      <c r="L5" s="13">
        <v>22.0</v>
      </c>
      <c r="M5" s="14">
        <v>22.0</v>
      </c>
    </row>
    <row r="6" ht="12.75" customHeight="1">
      <c r="A6" s="10" t="str">
        <f t="shared" si="1"/>
        <v/>
      </c>
      <c r="B6" s="37">
        <f t="shared" si="2"/>
        <v>3</v>
      </c>
      <c r="C6" s="12" t="s">
        <v>203</v>
      </c>
      <c r="D6" s="12" t="s">
        <v>204</v>
      </c>
      <c r="E6" s="12">
        <f t="shared" si="3"/>
        <v>145</v>
      </c>
      <c r="F6" s="14">
        <v>12.0</v>
      </c>
      <c r="G6" s="13"/>
      <c r="H6" s="14">
        <v>14.0</v>
      </c>
      <c r="I6" s="13"/>
      <c r="J6" s="14">
        <v>77.0</v>
      </c>
      <c r="K6" s="14">
        <v>14.0</v>
      </c>
      <c r="L6" s="14">
        <v>14.0</v>
      </c>
      <c r="M6" s="14">
        <v>14.0</v>
      </c>
    </row>
    <row r="7" ht="12.75" customHeight="1">
      <c r="A7" s="10" t="str">
        <f t="shared" si="1"/>
        <v/>
      </c>
      <c r="B7" s="37">
        <f t="shared" si="2"/>
        <v>4</v>
      </c>
      <c r="C7" s="12" t="s">
        <v>205</v>
      </c>
      <c r="D7" s="12" t="s">
        <v>130</v>
      </c>
      <c r="E7" s="12">
        <f t="shared" si="3"/>
        <v>123</v>
      </c>
      <c r="F7" s="13"/>
      <c r="G7" s="14">
        <v>18.0</v>
      </c>
      <c r="H7" s="14">
        <v>14.0</v>
      </c>
      <c r="I7" s="13"/>
      <c r="J7" s="14">
        <v>77.0</v>
      </c>
      <c r="K7" s="13"/>
      <c r="L7" s="13"/>
      <c r="M7" s="14">
        <v>14.0</v>
      </c>
    </row>
    <row r="8" ht="12.75" customHeight="1">
      <c r="A8" s="10" t="str">
        <f t="shared" si="1"/>
        <v/>
      </c>
      <c r="B8" s="37">
        <f t="shared" si="2"/>
        <v>5</v>
      </c>
      <c r="C8" s="12" t="s">
        <v>89</v>
      </c>
      <c r="D8" s="12" t="s">
        <v>63</v>
      </c>
      <c r="E8" s="12">
        <f t="shared" si="3"/>
        <v>107</v>
      </c>
      <c r="F8" s="13"/>
      <c r="G8" s="14">
        <v>12.0</v>
      </c>
      <c r="H8" s="14">
        <v>8.0</v>
      </c>
      <c r="I8" s="14">
        <v>14.0</v>
      </c>
      <c r="J8" s="14">
        <v>43.0</v>
      </c>
      <c r="K8" s="14">
        <v>22.0</v>
      </c>
      <c r="L8" s="13"/>
      <c r="M8" s="14">
        <v>8.0</v>
      </c>
    </row>
    <row r="9" ht="12.75" customHeight="1">
      <c r="A9" s="10" t="str">
        <f t="shared" si="1"/>
        <v/>
      </c>
      <c r="B9" s="37">
        <f t="shared" si="2"/>
        <v>6</v>
      </c>
      <c r="C9" s="46" t="s">
        <v>125</v>
      </c>
      <c r="D9" s="12" t="s">
        <v>206</v>
      </c>
      <c r="E9" s="12">
        <f t="shared" si="3"/>
        <v>84</v>
      </c>
      <c r="F9" s="14">
        <v>3.0</v>
      </c>
      <c r="G9" s="13"/>
      <c r="H9" s="14">
        <v>8.0</v>
      </c>
      <c r="I9" s="14">
        <v>14.0</v>
      </c>
      <c r="J9" s="14">
        <v>43.0</v>
      </c>
      <c r="K9" s="14">
        <v>8.0</v>
      </c>
      <c r="L9" s="13"/>
      <c r="M9" s="14">
        <v>8.0</v>
      </c>
    </row>
    <row r="10" ht="12.75" customHeight="1">
      <c r="A10" s="10" t="str">
        <f t="shared" si="1"/>
        <v/>
      </c>
      <c r="B10" s="37">
        <f t="shared" si="2"/>
        <v>7</v>
      </c>
      <c r="C10" s="12" t="s">
        <v>207</v>
      </c>
      <c r="D10" s="12" t="s">
        <v>208</v>
      </c>
      <c r="E10" s="12">
        <f t="shared" si="3"/>
        <v>59</v>
      </c>
      <c r="F10" s="13"/>
      <c r="G10" s="13"/>
      <c r="H10" s="14">
        <v>8.0</v>
      </c>
      <c r="I10" s="13"/>
      <c r="J10" s="14">
        <v>43.0</v>
      </c>
      <c r="K10" s="13"/>
      <c r="L10" s="14">
        <v>8.0</v>
      </c>
      <c r="M10" s="13"/>
    </row>
    <row r="11" ht="12.75" customHeight="1">
      <c r="A11" s="10" t="str">
        <f t="shared" si="1"/>
        <v/>
      </c>
      <c r="B11" s="37">
        <f t="shared" si="2"/>
        <v>8</v>
      </c>
      <c r="C11" s="12" t="s">
        <v>209</v>
      </c>
      <c r="D11" s="12" t="s">
        <v>210</v>
      </c>
      <c r="E11" s="12">
        <f t="shared" si="3"/>
        <v>50</v>
      </c>
      <c r="F11" s="14">
        <v>7.0</v>
      </c>
      <c r="G11" s="13"/>
      <c r="H11" s="13"/>
      <c r="I11" s="13"/>
      <c r="J11" s="14">
        <v>43.0</v>
      </c>
      <c r="K11" s="13"/>
      <c r="L11" s="13"/>
      <c r="M11" s="13"/>
    </row>
    <row r="12" ht="12.75" customHeight="1">
      <c r="A12" s="10" t="str">
        <f t="shared" si="1"/>
        <v/>
      </c>
      <c r="B12" s="37">
        <f t="shared" si="2"/>
        <v>9</v>
      </c>
      <c r="C12" s="12" t="s">
        <v>118</v>
      </c>
      <c r="D12" s="12" t="s">
        <v>32</v>
      </c>
      <c r="E12" s="12">
        <f t="shared" si="3"/>
        <v>34</v>
      </c>
      <c r="F12" s="13"/>
      <c r="G12" s="14">
        <v>26.0</v>
      </c>
      <c r="H12" s="13"/>
      <c r="I12" s="13"/>
      <c r="J12" s="13"/>
      <c r="K12" s="13"/>
      <c r="L12" s="13"/>
      <c r="M12" s="14">
        <v>8.0</v>
      </c>
    </row>
    <row r="13" ht="12.75" customHeight="1">
      <c r="A13" s="10" t="str">
        <f t="shared" si="1"/>
        <v/>
      </c>
      <c r="B13" s="37">
        <f t="shared" si="2"/>
        <v>10</v>
      </c>
      <c r="C13" s="12" t="s">
        <v>211</v>
      </c>
      <c r="D13" s="12" t="s">
        <v>210</v>
      </c>
      <c r="E13" s="12">
        <f t="shared" si="3"/>
        <v>32</v>
      </c>
      <c r="F13" s="14">
        <v>18.0</v>
      </c>
      <c r="G13" s="13"/>
      <c r="H13" s="13"/>
      <c r="I13" s="13"/>
      <c r="J13" s="13"/>
      <c r="K13" s="13"/>
      <c r="L13" s="13">
        <v>14.0</v>
      </c>
      <c r="M13" s="13"/>
    </row>
    <row r="14" ht="12.75" customHeight="1">
      <c r="A14" s="10" t="str">
        <f t="shared" si="1"/>
        <v/>
      </c>
      <c r="B14" s="37">
        <f t="shared" si="2"/>
        <v>11</v>
      </c>
      <c r="C14" s="12" t="s">
        <v>212</v>
      </c>
      <c r="D14" s="12" t="s">
        <v>213</v>
      </c>
      <c r="E14" s="12">
        <f t="shared" si="3"/>
        <v>20</v>
      </c>
      <c r="F14" s="13"/>
      <c r="G14" s="14">
        <v>12.0</v>
      </c>
      <c r="H14" s="13"/>
      <c r="I14" s="13"/>
      <c r="J14" s="13"/>
      <c r="K14" s="14">
        <v>8.0</v>
      </c>
      <c r="L14" s="13"/>
      <c r="M14" s="13"/>
    </row>
    <row r="15" ht="15.0" customHeight="1">
      <c r="A15" s="10" t="str">
        <f t="shared" si="1"/>
        <v>T</v>
      </c>
      <c r="B15" s="37">
        <f t="shared" si="2"/>
        <v>11</v>
      </c>
      <c r="C15" s="12" t="s">
        <v>214</v>
      </c>
      <c r="D15" s="12" t="s">
        <v>215</v>
      </c>
      <c r="E15" s="12">
        <f t="shared" si="3"/>
        <v>20</v>
      </c>
      <c r="F15" s="14">
        <v>12.0</v>
      </c>
      <c r="G15" s="13"/>
      <c r="H15" s="13"/>
      <c r="I15" s="14">
        <v>8.0</v>
      </c>
      <c r="J15" s="13"/>
      <c r="K15" s="13"/>
      <c r="L15" s="13"/>
      <c r="M15" s="13"/>
    </row>
    <row r="16" ht="12.75" customHeight="1">
      <c r="A16" s="10" t="str">
        <f t="shared" si="1"/>
        <v/>
      </c>
      <c r="B16" s="37">
        <f t="shared" si="2"/>
        <v>13</v>
      </c>
      <c r="C16" s="12" t="s">
        <v>129</v>
      </c>
      <c r="D16" s="12" t="s">
        <v>32</v>
      </c>
      <c r="E16" s="12">
        <f t="shared" si="3"/>
        <v>19</v>
      </c>
      <c r="F16" s="13"/>
      <c r="G16" s="14">
        <v>3.0</v>
      </c>
      <c r="H16" s="13"/>
      <c r="I16" s="14">
        <v>8.0</v>
      </c>
      <c r="J16" s="13"/>
      <c r="K16" s="13"/>
      <c r="L16" s="13"/>
      <c r="M16" s="14">
        <v>8.0</v>
      </c>
    </row>
    <row r="17" ht="12.75" customHeight="1">
      <c r="A17" s="10" t="str">
        <f t="shared" si="1"/>
        <v>T</v>
      </c>
      <c r="B17" s="37">
        <f t="shared" si="2"/>
        <v>13</v>
      </c>
      <c r="C17" s="12" t="s">
        <v>216</v>
      </c>
      <c r="D17" s="12" t="s">
        <v>217</v>
      </c>
      <c r="E17" s="12">
        <f t="shared" si="3"/>
        <v>19</v>
      </c>
      <c r="F17" s="14">
        <v>3.0</v>
      </c>
      <c r="G17" s="13"/>
      <c r="H17" s="14">
        <v>8.0</v>
      </c>
      <c r="I17" s="14">
        <v>8.0</v>
      </c>
      <c r="J17" s="13"/>
      <c r="K17" s="13"/>
      <c r="L17" s="13"/>
      <c r="M17" s="13"/>
    </row>
    <row r="18" ht="12.75" customHeight="1">
      <c r="A18" s="10" t="str">
        <f t="shared" si="1"/>
        <v/>
      </c>
      <c r="B18" s="37">
        <f t="shared" si="2"/>
        <v>15</v>
      </c>
      <c r="C18" s="16" t="s">
        <v>218</v>
      </c>
      <c r="D18" s="12" t="s">
        <v>36</v>
      </c>
      <c r="E18" s="12">
        <f t="shared" si="3"/>
        <v>8</v>
      </c>
      <c r="F18" s="13"/>
      <c r="G18" s="13"/>
      <c r="H18" s="13"/>
      <c r="I18" s="13"/>
      <c r="J18" s="13"/>
      <c r="K18" s="13"/>
      <c r="L18" s="14">
        <v>8.0</v>
      </c>
      <c r="M18" s="13"/>
    </row>
    <row r="19" ht="12.75" customHeight="1">
      <c r="A19" s="10" t="str">
        <f t="shared" si="1"/>
        <v/>
      </c>
      <c r="B19" s="37">
        <f t="shared" si="2"/>
        <v>16</v>
      </c>
      <c r="C19" s="12" t="s">
        <v>219</v>
      </c>
      <c r="D19" s="12" t="s">
        <v>220</v>
      </c>
      <c r="E19" s="12">
        <f t="shared" si="3"/>
        <v>7</v>
      </c>
      <c r="F19" s="14">
        <v>7.0</v>
      </c>
      <c r="G19" s="13"/>
      <c r="H19" s="13"/>
      <c r="I19" s="13"/>
      <c r="J19" s="13"/>
      <c r="K19" s="13"/>
      <c r="L19" s="13"/>
      <c r="M19" s="13"/>
    </row>
    <row r="20" ht="15.0" customHeight="1">
      <c r="A20" s="10" t="str">
        <f t="shared" si="1"/>
        <v>T</v>
      </c>
      <c r="B20" s="37">
        <f t="shared" si="2"/>
        <v>16</v>
      </c>
      <c r="C20" s="16" t="s">
        <v>221</v>
      </c>
      <c r="D20" s="12" t="s">
        <v>217</v>
      </c>
      <c r="E20" s="12">
        <f t="shared" si="3"/>
        <v>7</v>
      </c>
      <c r="F20" s="14">
        <v>7.0</v>
      </c>
      <c r="G20" s="13"/>
      <c r="H20" s="13"/>
      <c r="I20" s="13"/>
      <c r="J20" s="13"/>
      <c r="K20" s="13"/>
      <c r="L20" s="13"/>
      <c r="M20" s="13"/>
    </row>
    <row r="21" ht="12.75" customHeight="1">
      <c r="A21" s="10" t="str">
        <f t="shared" si="1"/>
        <v/>
      </c>
      <c r="B21" s="37">
        <f t="shared" si="2"/>
        <v>18</v>
      </c>
      <c r="C21" s="12" t="s">
        <v>222</v>
      </c>
      <c r="D21" s="12" t="s">
        <v>130</v>
      </c>
      <c r="E21" s="12">
        <f t="shared" si="3"/>
        <v>3</v>
      </c>
      <c r="F21" s="13"/>
      <c r="G21" s="14">
        <v>3.0</v>
      </c>
      <c r="H21" s="13"/>
      <c r="I21" s="13"/>
      <c r="J21" s="13"/>
      <c r="K21" s="13"/>
      <c r="L21" s="13"/>
      <c r="M21" s="13"/>
    </row>
    <row r="22" ht="12.75" customHeight="1">
      <c r="A22" s="10" t="str">
        <f t="shared" si="1"/>
        <v>T</v>
      </c>
      <c r="B22" s="37">
        <f t="shared" si="2"/>
        <v>18</v>
      </c>
      <c r="C22" s="12" t="s">
        <v>223</v>
      </c>
      <c r="D22" s="12" t="s">
        <v>130</v>
      </c>
      <c r="E22" s="12">
        <f t="shared" si="3"/>
        <v>3</v>
      </c>
      <c r="F22" s="13"/>
      <c r="G22" s="14">
        <v>3.0</v>
      </c>
      <c r="H22" s="13"/>
      <c r="I22" s="13"/>
      <c r="J22" s="13"/>
      <c r="K22" s="13"/>
      <c r="L22" s="13"/>
      <c r="M22" s="13"/>
    </row>
    <row r="23" ht="12.75" customHeight="1">
      <c r="A23" s="10" t="str">
        <f t="shared" si="1"/>
        <v>T</v>
      </c>
      <c r="B23" s="37">
        <f t="shared" si="2"/>
        <v>18</v>
      </c>
      <c r="C23" s="12" t="s">
        <v>224</v>
      </c>
      <c r="D23" s="12" t="s">
        <v>95</v>
      </c>
      <c r="E23" s="12">
        <f t="shared" si="3"/>
        <v>3</v>
      </c>
      <c r="F23" s="14">
        <v>3.0</v>
      </c>
      <c r="G23" s="13"/>
      <c r="H23" s="13"/>
      <c r="I23" s="13"/>
      <c r="J23" s="13"/>
      <c r="K23" s="13"/>
      <c r="L23" s="13"/>
      <c r="M23" s="13"/>
    </row>
    <row r="24" ht="12.75" customHeight="1">
      <c r="A24" s="10" t="str">
        <f t="shared" si="1"/>
        <v>T</v>
      </c>
      <c r="B24" s="37">
        <f t="shared" si="2"/>
        <v>18</v>
      </c>
      <c r="C24" s="12" t="s">
        <v>225</v>
      </c>
      <c r="D24" s="12" t="s">
        <v>117</v>
      </c>
      <c r="E24" s="12">
        <f t="shared" si="3"/>
        <v>3</v>
      </c>
      <c r="F24" s="14">
        <v>3.0</v>
      </c>
      <c r="G24" s="13"/>
      <c r="H24" s="13"/>
      <c r="I24" s="13"/>
      <c r="J24" s="13"/>
      <c r="K24" s="13"/>
      <c r="L24" s="13"/>
      <c r="M24" s="13"/>
    </row>
    <row r="25" ht="12.75" customHeight="1">
      <c r="A25" s="10" t="str">
        <f t="shared" si="1"/>
        <v>T</v>
      </c>
      <c r="B25" s="37">
        <f t="shared" si="2"/>
        <v>18</v>
      </c>
      <c r="C25" s="12" t="s">
        <v>226</v>
      </c>
      <c r="D25" s="12" t="s">
        <v>179</v>
      </c>
      <c r="E25" s="12">
        <f t="shared" si="3"/>
        <v>3</v>
      </c>
      <c r="F25" s="13"/>
      <c r="G25" s="14">
        <v>3.0</v>
      </c>
      <c r="H25" s="13"/>
      <c r="I25" s="13"/>
      <c r="J25" s="13"/>
      <c r="K25" s="13"/>
      <c r="L25" s="13"/>
      <c r="M25" s="13"/>
    </row>
    <row r="26" ht="12.75" customHeight="1">
      <c r="A26" s="10" t="str">
        <f t="shared" si="1"/>
        <v>T</v>
      </c>
      <c r="B26" s="37">
        <f t="shared" si="2"/>
        <v>18</v>
      </c>
      <c r="C26" s="12" t="s">
        <v>227</v>
      </c>
      <c r="D26" s="12" t="s">
        <v>36</v>
      </c>
      <c r="E26" s="12">
        <f t="shared" si="3"/>
        <v>3</v>
      </c>
      <c r="F26" s="14">
        <v>3.0</v>
      </c>
      <c r="G26" s="13"/>
      <c r="H26" s="13"/>
      <c r="I26" s="13"/>
      <c r="J26" s="13"/>
      <c r="K26" s="13"/>
      <c r="L26" s="13"/>
      <c r="M26" s="13"/>
    </row>
    <row r="27" ht="12.75" customHeight="1">
      <c r="A27" s="10"/>
      <c r="B27" s="37"/>
      <c r="C27" s="12"/>
      <c r="D27" s="12"/>
      <c r="E27" s="12"/>
      <c r="F27" s="13"/>
      <c r="G27" s="13"/>
      <c r="H27" s="13"/>
      <c r="I27" s="13"/>
      <c r="J27" s="13"/>
      <c r="K27" s="13"/>
      <c r="L27" s="13"/>
      <c r="M27" s="13"/>
    </row>
    <row r="28" ht="12.75" customHeight="1">
      <c r="A28" s="42"/>
      <c r="B28" s="37"/>
      <c r="C28" s="12"/>
      <c r="D28" s="12"/>
      <c r="E28" s="12"/>
      <c r="F28" s="13"/>
      <c r="G28" s="13"/>
      <c r="H28" s="13"/>
      <c r="I28" s="13"/>
      <c r="J28" s="13"/>
      <c r="K28" s="13"/>
      <c r="L28" s="13"/>
      <c r="M28" s="13"/>
    </row>
    <row r="29" ht="12.75" customHeight="1"/>
    <row r="30" ht="12.75" customHeight="1">
      <c r="A30" s="19" t="s">
        <v>137</v>
      </c>
      <c r="B30" s="20"/>
      <c r="C30" s="21" t="s">
        <v>138</v>
      </c>
      <c r="D30" s="22"/>
      <c r="E30" s="22"/>
      <c r="F30" s="22"/>
      <c r="G30" s="22"/>
      <c r="H30" s="22"/>
      <c r="I30" s="22"/>
      <c r="J30" s="22"/>
      <c r="K30" s="22"/>
      <c r="L30" s="22"/>
      <c r="M30" s="23"/>
    </row>
    <row r="31" ht="12.75" customHeight="1">
      <c r="A31" s="19" t="s">
        <v>137</v>
      </c>
      <c r="B31" s="24"/>
      <c r="C31" s="25" t="s">
        <v>139</v>
      </c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mergeCells count="4">
    <mergeCell ref="F2:M2"/>
    <mergeCell ref="A3:B3"/>
    <mergeCell ref="C30:M30"/>
    <mergeCell ref="C31:M3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5.25"/>
    <col customWidth="1" min="3" max="3" width="12.38"/>
    <col customWidth="1" min="4" max="4" width="17.25"/>
    <col customWidth="1" min="5" max="5" width="5.25"/>
    <col customWidth="1" min="6" max="16" width="7.13"/>
    <col customWidth="1" min="17" max="18" width="8.0"/>
  </cols>
  <sheetData>
    <row r="1" ht="16.5" customHeight="1">
      <c r="A1" s="47"/>
      <c r="B1" s="48" t="s">
        <v>228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ht="12.75" customHeight="1">
      <c r="A2" s="49"/>
      <c r="B2" s="50"/>
      <c r="C2" s="50"/>
      <c r="D2" s="50"/>
      <c r="E2" s="50"/>
      <c r="F2" s="51"/>
      <c r="G2" s="51"/>
      <c r="H2" s="51"/>
      <c r="I2" s="51"/>
      <c r="J2" s="51"/>
      <c r="K2" s="52" t="s">
        <v>141</v>
      </c>
      <c r="L2" s="51"/>
      <c r="M2" s="51"/>
      <c r="N2" s="51"/>
      <c r="O2" s="51"/>
      <c r="P2" s="53"/>
    </row>
    <row r="3" ht="12.75" customHeight="1">
      <c r="A3" s="54" t="s">
        <v>1</v>
      </c>
      <c r="B3" s="31"/>
      <c r="C3" s="55" t="s">
        <v>2</v>
      </c>
      <c r="D3" s="55" t="s">
        <v>3</v>
      </c>
      <c r="E3" s="55" t="s">
        <v>4</v>
      </c>
      <c r="F3" s="56" t="s">
        <v>5</v>
      </c>
      <c r="G3" s="56" t="s">
        <v>7</v>
      </c>
      <c r="H3" s="56" t="s">
        <v>229</v>
      </c>
      <c r="I3" s="56" t="s">
        <v>12</v>
      </c>
      <c r="J3" s="56" t="s">
        <v>230</v>
      </c>
      <c r="K3" s="56" t="s">
        <v>13</v>
      </c>
      <c r="L3" s="56" t="s">
        <v>14</v>
      </c>
      <c r="M3" s="56" t="s">
        <v>15</v>
      </c>
      <c r="N3" s="56" t="s">
        <v>16</v>
      </c>
      <c r="O3" s="56" t="s">
        <v>17</v>
      </c>
      <c r="P3" s="56" t="s">
        <v>18</v>
      </c>
    </row>
    <row r="4" ht="15.0" customHeight="1">
      <c r="A4" s="57" t="str">
        <f t="shared" ref="A4:A63" si="1">IF(B4=B3,"T","")</f>
        <v/>
      </c>
      <c r="B4" s="58">
        <f t="shared" ref="B4:B63" si="2">RANK(E4,$E$4:$E$73,0)</f>
        <v>1</v>
      </c>
      <c r="C4" s="59" t="s">
        <v>64</v>
      </c>
      <c r="D4" s="59" t="s">
        <v>65</v>
      </c>
      <c r="E4" s="60">
        <f t="shared" ref="E4:E63" si="3">SUM(F4:P4)</f>
        <v>368</v>
      </c>
      <c r="F4" s="61">
        <v>26.0</v>
      </c>
      <c r="G4" s="62"/>
      <c r="H4" s="61">
        <v>23.0</v>
      </c>
      <c r="I4" s="61">
        <v>170.0</v>
      </c>
      <c r="J4" s="61">
        <v>22.0</v>
      </c>
      <c r="K4" s="61">
        <v>22.0</v>
      </c>
      <c r="L4" s="63"/>
      <c r="M4" s="64">
        <v>41.0</v>
      </c>
      <c r="N4" s="61">
        <v>32.0</v>
      </c>
      <c r="O4" s="64">
        <v>32.0</v>
      </c>
      <c r="P4" s="65"/>
    </row>
    <row r="5" ht="12.75" customHeight="1">
      <c r="A5" s="57" t="str">
        <f t="shared" si="1"/>
        <v/>
      </c>
      <c r="B5" s="58">
        <f t="shared" si="2"/>
        <v>2</v>
      </c>
      <c r="C5" s="59" t="s">
        <v>40</v>
      </c>
      <c r="D5" s="59" t="s">
        <v>65</v>
      </c>
      <c r="E5" s="60">
        <f t="shared" si="3"/>
        <v>353</v>
      </c>
      <c r="F5" s="63"/>
      <c r="G5" s="61">
        <v>7.0</v>
      </c>
      <c r="H5" s="61">
        <v>90.0</v>
      </c>
      <c r="I5" s="61">
        <v>170.0</v>
      </c>
      <c r="J5" s="61">
        <v>22.0</v>
      </c>
      <c r="K5" s="64">
        <v>32.0</v>
      </c>
      <c r="L5" s="63"/>
      <c r="M5" s="63"/>
      <c r="N5" s="64">
        <v>32.0</v>
      </c>
      <c r="O5" s="63"/>
      <c r="P5" s="65"/>
    </row>
    <row r="6" ht="12.75" customHeight="1">
      <c r="A6" s="57" t="str">
        <f t="shared" si="1"/>
        <v/>
      </c>
      <c r="B6" s="58">
        <f t="shared" si="2"/>
        <v>3</v>
      </c>
      <c r="C6" s="59" t="s">
        <v>19</v>
      </c>
      <c r="D6" s="59" t="s">
        <v>20</v>
      </c>
      <c r="E6" s="60">
        <f t="shared" si="3"/>
        <v>216</v>
      </c>
      <c r="F6" s="63"/>
      <c r="G6" s="61">
        <v>26.0</v>
      </c>
      <c r="H6" s="61">
        <v>41.0</v>
      </c>
      <c r="I6" s="63"/>
      <c r="J6" s="61">
        <v>32.0</v>
      </c>
      <c r="K6" s="64">
        <v>32.0</v>
      </c>
      <c r="L6" s="63"/>
      <c r="M6" s="63"/>
      <c r="N6" s="63"/>
      <c r="O6" s="64">
        <v>22.0</v>
      </c>
      <c r="P6" s="66">
        <v>63.0</v>
      </c>
    </row>
    <row r="7" ht="12.75" customHeight="1">
      <c r="A7" s="57" t="str">
        <f t="shared" si="1"/>
        <v/>
      </c>
      <c r="B7" s="58">
        <f t="shared" si="2"/>
        <v>4</v>
      </c>
      <c r="C7" s="59" t="s">
        <v>38</v>
      </c>
      <c r="D7" s="59" t="s">
        <v>36</v>
      </c>
      <c r="E7" s="60">
        <f t="shared" si="3"/>
        <v>199</v>
      </c>
      <c r="F7" s="63"/>
      <c r="G7" s="63"/>
      <c r="H7" s="61">
        <v>90.0</v>
      </c>
      <c r="I7" s="63"/>
      <c r="J7" s="61">
        <v>32.0</v>
      </c>
      <c r="K7" s="63"/>
      <c r="L7" s="63"/>
      <c r="M7" s="63"/>
      <c r="N7" s="63"/>
      <c r="O7" s="61">
        <v>14.0</v>
      </c>
      <c r="P7" s="66">
        <v>63.0</v>
      </c>
    </row>
    <row r="8" ht="12.75" customHeight="1">
      <c r="A8" s="57" t="str">
        <f t="shared" si="1"/>
        <v/>
      </c>
      <c r="B8" s="58">
        <f t="shared" si="2"/>
        <v>5</v>
      </c>
      <c r="C8" s="59" t="s">
        <v>231</v>
      </c>
      <c r="D8" s="59" t="s">
        <v>232</v>
      </c>
      <c r="E8" s="60">
        <f t="shared" si="3"/>
        <v>195</v>
      </c>
      <c r="F8" s="63"/>
      <c r="G8" s="61">
        <v>18.0</v>
      </c>
      <c r="H8" s="61">
        <v>23.0</v>
      </c>
      <c r="I8" s="64">
        <v>77.0</v>
      </c>
      <c r="J8" s="61"/>
      <c r="K8" s="61"/>
      <c r="L8" s="64">
        <v>22.0</v>
      </c>
      <c r="M8" s="64"/>
      <c r="N8" s="63"/>
      <c r="O8" s="61">
        <v>14.0</v>
      </c>
      <c r="P8" s="66">
        <v>41.0</v>
      </c>
    </row>
    <row r="9" ht="12.75" customHeight="1">
      <c r="A9" s="57" t="str">
        <f t="shared" si="1"/>
        <v>T</v>
      </c>
      <c r="B9" s="58">
        <f t="shared" si="2"/>
        <v>5</v>
      </c>
      <c r="C9" s="59" t="s">
        <v>233</v>
      </c>
      <c r="D9" s="59" t="s">
        <v>232</v>
      </c>
      <c r="E9" s="60">
        <f t="shared" si="3"/>
        <v>195</v>
      </c>
      <c r="F9" s="63"/>
      <c r="G9" s="61">
        <v>18.0</v>
      </c>
      <c r="H9" s="61">
        <v>23.0</v>
      </c>
      <c r="I9" s="64">
        <v>77.0</v>
      </c>
      <c r="J9" s="61"/>
      <c r="K9" s="63"/>
      <c r="L9" s="61">
        <v>22.0</v>
      </c>
      <c r="M9" s="61"/>
      <c r="N9" s="63"/>
      <c r="O9" s="61">
        <v>14.0</v>
      </c>
      <c r="P9" s="66">
        <v>41.0</v>
      </c>
    </row>
    <row r="10" ht="12.75" customHeight="1">
      <c r="A10" s="57" t="str">
        <f t="shared" si="1"/>
        <v/>
      </c>
      <c r="B10" s="58">
        <f t="shared" si="2"/>
        <v>7</v>
      </c>
      <c r="C10" s="59" t="s">
        <v>23</v>
      </c>
      <c r="D10" s="59" t="s">
        <v>234</v>
      </c>
      <c r="E10" s="60">
        <f t="shared" si="3"/>
        <v>187</v>
      </c>
      <c r="F10" s="61">
        <v>7.0</v>
      </c>
      <c r="G10" s="63"/>
      <c r="H10" s="61">
        <v>63.0</v>
      </c>
      <c r="I10" s="63"/>
      <c r="J10" s="64">
        <v>14.0</v>
      </c>
      <c r="K10" s="64">
        <v>22.0</v>
      </c>
      <c r="L10" s="63"/>
      <c r="M10" s="64">
        <v>41.0</v>
      </c>
      <c r="N10" s="64">
        <v>8.0</v>
      </c>
      <c r="O10" s="64">
        <v>32.0</v>
      </c>
      <c r="P10" s="65"/>
    </row>
    <row r="11" ht="12.75" customHeight="1">
      <c r="A11" s="57" t="str">
        <f t="shared" si="1"/>
        <v/>
      </c>
      <c r="B11" s="58">
        <f t="shared" si="2"/>
        <v>8</v>
      </c>
      <c r="C11" s="59" t="s">
        <v>235</v>
      </c>
      <c r="D11" s="59" t="s">
        <v>32</v>
      </c>
      <c r="E11" s="60">
        <f t="shared" si="3"/>
        <v>181</v>
      </c>
      <c r="F11" s="63"/>
      <c r="G11" s="61">
        <v>7.0</v>
      </c>
      <c r="H11" s="63"/>
      <c r="I11" s="61">
        <v>119.0</v>
      </c>
      <c r="J11" s="61"/>
      <c r="K11" s="63"/>
      <c r="L11" s="61">
        <v>32.0</v>
      </c>
      <c r="M11" s="61">
        <v>23.0</v>
      </c>
      <c r="N11" s="63"/>
      <c r="O11" s="61"/>
      <c r="P11" s="65"/>
    </row>
    <row r="12" ht="12.75" customHeight="1">
      <c r="A12" s="57" t="str">
        <f t="shared" si="1"/>
        <v/>
      </c>
      <c r="B12" s="58">
        <f t="shared" si="2"/>
        <v>9</v>
      </c>
      <c r="C12" s="59" t="s">
        <v>29</v>
      </c>
      <c r="D12" s="59" t="s">
        <v>30</v>
      </c>
      <c r="E12" s="60">
        <f t="shared" si="3"/>
        <v>141</v>
      </c>
      <c r="F12" s="63"/>
      <c r="G12" s="62"/>
      <c r="H12" s="63"/>
      <c r="I12" s="61">
        <v>119.0</v>
      </c>
      <c r="J12" s="63"/>
      <c r="K12" s="63"/>
      <c r="L12" s="63"/>
      <c r="M12" s="63"/>
      <c r="N12" s="64">
        <v>14.0</v>
      </c>
      <c r="O12" s="61">
        <v>8.0</v>
      </c>
      <c r="P12" s="65"/>
    </row>
    <row r="13" ht="12.75" customHeight="1">
      <c r="A13" s="57" t="str">
        <f t="shared" si="1"/>
        <v/>
      </c>
      <c r="B13" s="58">
        <f t="shared" si="2"/>
        <v>10</v>
      </c>
      <c r="C13" s="59" t="s">
        <v>39</v>
      </c>
      <c r="D13" s="59" t="s">
        <v>36</v>
      </c>
      <c r="E13" s="60">
        <f t="shared" si="3"/>
        <v>128</v>
      </c>
      <c r="F13" s="63"/>
      <c r="G13" s="62"/>
      <c r="H13" s="63"/>
      <c r="I13" s="61">
        <v>77.0</v>
      </c>
      <c r="J13" s="61"/>
      <c r="K13" s="61"/>
      <c r="L13" s="61">
        <v>14.0</v>
      </c>
      <c r="M13" s="61"/>
      <c r="N13" s="64">
        <v>14.0</v>
      </c>
      <c r="O13" s="63"/>
      <c r="P13" s="66">
        <v>23.0</v>
      </c>
    </row>
    <row r="14" ht="12.75" customHeight="1">
      <c r="A14" s="57" t="str">
        <f t="shared" si="1"/>
        <v/>
      </c>
      <c r="B14" s="58">
        <f t="shared" si="2"/>
        <v>11</v>
      </c>
      <c r="C14" s="59" t="s">
        <v>62</v>
      </c>
      <c r="D14" s="59" t="s">
        <v>63</v>
      </c>
      <c r="E14" s="60">
        <f t="shared" si="3"/>
        <v>118</v>
      </c>
      <c r="F14" s="63"/>
      <c r="G14" s="61">
        <v>26.0</v>
      </c>
      <c r="H14" s="61">
        <v>41.0</v>
      </c>
      <c r="I14" s="63"/>
      <c r="J14" s="63"/>
      <c r="K14" s="61">
        <v>14.0</v>
      </c>
      <c r="L14" s="61">
        <v>14.0</v>
      </c>
      <c r="M14" s="61"/>
      <c r="N14" s="63"/>
      <c r="O14" s="61"/>
      <c r="P14" s="66">
        <v>23.0</v>
      </c>
    </row>
    <row r="15" ht="12.75" customHeight="1">
      <c r="A15" s="57" t="str">
        <f t="shared" si="1"/>
        <v/>
      </c>
      <c r="B15" s="58">
        <f t="shared" si="2"/>
        <v>12</v>
      </c>
      <c r="C15" s="59" t="s">
        <v>236</v>
      </c>
      <c r="D15" s="59" t="s">
        <v>36</v>
      </c>
      <c r="E15" s="60">
        <f t="shared" si="3"/>
        <v>105</v>
      </c>
      <c r="F15" s="63"/>
      <c r="G15" s="63"/>
      <c r="H15" s="63"/>
      <c r="I15" s="61">
        <v>77.0</v>
      </c>
      <c r="J15" s="61"/>
      <c r="K15" s="61"/>
      <c r="L15" s="64">
        <v>14.0</v>
      </c>
      <c r="M15" s="64"/>
      <c r="N15" s="64">
        <v>14.0</v>
      </c>
      <c r="O15" s="63"/>
      <c r="P15" s="65"/>
    </row>
    <row r="16" ht="12.75" customHeight="1">
      <c r="A16" s="57" t="str">
        <f t="shared" si="1"/>
        <v/>
      </c>
      <c r="B16" s="58">
        <f t="shared" si="2"/>
        <v>13</v>
      </c>
      <c r="C16" s="59" t="s">
        <v>85</v>
      </c>
      <c r="D16" s="59" t="s">
        <v>34</v>
      </c>
      <c r="E16" s="60">
        <f t="shared" si="3"/>
        <v>92</v>
      </c>
      <c r="F16" s="61">
        <v>7.0</v>
      </c>
      <c r="G16" s="63"/>
      <c r="H16" s="61">
        <v>63.0</v>
      </c>
      <c r="I16" s="61"/>
      <c r="J16" s="61"/>
      <c r="K16" s="63"/>
      <c r="L16" s="63"/>
      <c r="M16" s="63"/>
      <c r="N16" s="64">
        <v>14.0</v>
      </c>
      <c r="O16" s="61">
        <v>8.0</v>
      </c>
      <c r="P16" s="65"/>
    </row>
    <row r="17" ht="12.75" customHeight="1">
      <c r="A17" s="57" t="str">
        <f t="shared" si="1"/>
        <v/>
      </c>
      <c r="B17" s="58">
        <f t="shared" si="2"/>
        <v>14</v>
      </c>
      <c r="C17" s="59" t="s">
        <v>237</v>
      </c>
      <c r="D17" s="59" t="s">
        <v>65</v>
      </c>
      <c r="E17" s="60">
        <f t="shared" si="3"/>
        <v>91</v>
      </c>
      <c r="F17" s="61">
        <v>12.0</v>
      </c>
      <c r="G17" s="63"/>
      <c r="H17" s="63"/>
      <c r="I17" s="61">
        <v>43.0</v>
      </c>
      <c r="J17" s="63"/>
      <c r="K17" s="63"/>
      <c r="L17" s="63"/>
      <c r="M17" s="63"/>
      <c r="N17" s="61">
        <v>22.0</v>
      </c>
      <c r="O17" s="63"/>
      <c r="P17" s="66">
        <v>14.0</v>
      </c>
    </row>
    <row r="18" ht="12.75" customHeight="1">
      <c r="A18" s="57" t="str">
        <f t="shared" si="1"/>
        <v/>
      </c>
      <c r="B18" s="58">
        <f t="shared" si="2"/>
        <v>15</v>
      </c>
      <c r="C18" s="59" t="s">
        <v>238</v>
      </c>
      <c r="D18" s="59" t="s">
        <v>32</v>
      </c>
      <c r="E18" s="60">
        <f t="shared" si="3"/>
        <v>73</v>
      </c>
      <c r="F18" s="62"/>
      <c r="G18" s="63"/>
      <c r="H18" s="61">
        <v>41.0</v>
      </c>
      <c r="I18" s="63"/>
      <c r="J18" s="63"/>
      <c r="K18" s="63"/>
      <c r="L18" s="61">
        <v>32.0</v>
      </c>
      <c r="M18" s="61"/>
      <c r="N18" s="63"/>
      <c r="O18" s="63"/>
      <c r="P18" s="65"/>
    </row>
    <row r="19" ht="12.75" customHeight="1">
      <c r="A19" s="57" t="str">
        <f t="shared" si="1"/>
        <v/>
      </c>
      <c r="B19" s="58">
        <f t="shared" si="2"/>
        <v>16</v>
      </c>
      <c r="C19" s="59" t="s">
        <v>37</v>
      </c>
      <c r="D19" s="59" t="s">
        <v>26</v>
      </c>
      <c r="E19" s="60">
        <f t="shared" si="3"/>
        <v>71</v>
      </c>
      <c r="F19" s="61">
        <v>12.0</v>
      </c>
      <c r="G19" s="63"/>
      <c r="H19" s="63"/>
      <c r="I19" s="61">
        <v>43.0</v>
      </c>
      <c r="J19" s="64">
        <v>8.0</v>
      </c>
      <c r="K19" s="63"/>
      <c r="L19" s="63"/>
      <c r="M19" s="63"/>
      <c r="N19" s="64">
        <v>8.0</v>
      </c>
      <c r="O19" s="63"/>
      <c r="P19" s="65"/>
    </row>
    <row r="20" ht="12.75" customHeight="1">
      <c r="A20" s="57" t="str">
        <f t="shared" si="1"/>
        <v/>
      </c>
      <c r="B20" s="58">
        <f t="shared" si="2"/>
        <v>17</v>
      </c>
      <c r="C20" s="59" t="s">
        <v>60</v>
      </c>
      <c r="D20" s="59" t="s">
        <v>232</v>
      </c>
      <c r="E20" s="60">
        <f t="shared" si="3"/>
        <v>69</v>
      </c>
      <c r="F20" s="62"/>
      <c r="G20" s="63"/>
      <c r="H20" s="61">
        <v>41.0</v>
      </c>
      <c r="I20" s="63"/>
      <c r="J20" s="63"/>
      <c r="K20" s="64">
        <v>14.0</v>
      </c>
      <c r="L20" s="61">
        <v>14.0</v>
      </c>
      <c r="M20" s="61"/>
      <c r="N20" s="63"/>
      <c r="O20" s="61"/>
      <c r="P20" s="65"/>
    </row>
    <row r="21" ht="12.75" customHeight="1">
      <c r="A21" s="57" t="str">
        <f t="shared" si="1"/>
        <v>T</v>
      </c>
      <c r="B21" s="58">
        <f t="shared" si="2"/>
        <v>17</v>
      </c>
      <c r="C21" s="59" t="s">
        <v>239</v>
      </c>
      <c r="D21" s="59" t="s">
        <v>65</v>
      </c>
      <c r="E21" s="60">
        <f t="shared" si="3"/>
        <v>69</v>
      </c>
      <c r="F21" s="61">
        <v>18.0</v>
      </c>
      <c r="G21" s="63"/>
      <c r="H21" s="63"/>
      <c r="I21" s="61">
        <v>43.0</v>
      </c>
      <c r="J21" s="63"/>
      <c r="K21" s="63"/>
      <c r="L21" s="63"/>
      <c r="M21" s="63"/>
      <c r="N21" s="64">
        <v>8.0</v>
      </c>
      <c r="O21" s="63"/>
      <c r="P21" s="65"/>
    </row>
    <row r="22" ht="12.75" customHeight="1">
      <c r="A22" s="57" t="str">
        <f t="shared" si="1"/>
        <v/>
      </c>
      <c r="B22" s="58">
        <f t="shared" si="2"/>
        <v>19</v>
      </c>
      <c r="C22" s="59" t="s">
        <v>240</v>
      </c>
      <c r="D22" s="59" t="s">
        <v>65</v>
      </c>
      <c r="E22" s="60">
        <f t="shared" si="3"/>
        <v>65</v>
      </c>
      <c r="F22" s="63"/>
      <c r="G22" s="62"/>
      <c r="H22" s="63"/>
      <c r="I22" s="61">
        <v>43.0</v>
      </c>
      <c r="J22" s="63"/>
      <c r="K22" s="61"/>
      <c r="L22" s="63"/>
      <c r="M22" s="63"/>
      <c r="N22" s="61">
        <v>22.0</v>
      </c>
      <c r="O22" s="63"/>
      <c r="P22" s="65"/>
    </row>
    <row r="23" ht="12.75" customHeight="1">
      <c r="A23" s="57" t="str">
        <f t="shared" si="1"/>
        <v/>
      </c>
      <c r="B23" s="58">
        <f t="shared" si="2"/>
        <v>20</v>
      </c>
      <c r="C23" s="59" t="s">
        <v>241</v>
      </c>
      <c r="D23" s="59" t="s">
        <v>26</v>
      </c>
      <c r="E23" s="60">
        <f t="shared" si="3"/>
        <v>63</v>
      </c>
      <c r="F23" s="61">
        <v>12.0</v>
      </c>
      <c r="G23" s="63"/>
      <c r="H23" s="63"/>
      <c r="I23" s="64">
        <v>43.0</v>
      </c>
      <c r="J23" s="63"/>
      <c r="K23" s="63"/>
      <c r="L23" s="63"/>
      <c r="M23" s="63"/>
      <c r="N23" s="64">
        <v>8.0</v>
      </c>
      <c r="O23" s="63"/>
      <c r="P23" s="65"/>
    </row>
    <row r="24" ht="12.75" customHeight="1">
      <c r="A24" s="57" t="str">
        <f t="shared" si="1"/>
        <v/>
      </c>
      <c r="B24" s="58">
        <f t="shared" si="2"/>
        <v>21</v>
      </c>
      <c r="C24" s="59" t="s">
        <v>35</v>
      </c>
      <c r="D24" s="59" t="s">
        <v>36</v>
      </c>
      <c r="E24" s="60">
        <f t="shared" si="3"/>
        <v>60</v>
      </c>
      <c r="F24" s="61">
        <v>7.0</v>
      </c>
      <c r="G24" s="63"/>
      <c r="H24" s="61">
        <v>23.0</v>
      </c>
      <c r="I24" s="61"/>
      <c r="J24" s="61"/>
      <c r="K24" s="63"/>
      <c r="L24" s="61">
        <v>8.0</v>
      </c>
      <c r="M24" s="61"/>
      <c r="N24" s="61">
        <v>8.0</v>
      </c>
      <c r="O24" s="63"/>
      <c r="P24" s="66">
        <v>14.0</v>
      </c>
    </row>
    <row r="25" ht="12.75" customHeight="1">
      <c r="A25" s="57" t="str">
        <f t="shared" si="1"/>
        <v/>
      </c>
      <c r="B25" s="58">
        <f t="shared" si="2"/>
        <v>22</v>
      </c>
      <c r="C25" s="12" t="s">
        <v>52</v>
      </c>
      <c r="D25" s="12" t="s">
        <v>53</v>
      </c>
      <c r="E25" s="60">
        <f t="shared" si="3"/>
        <v>53</v>
      </c>
      <c r="F25" s="63"/>
      <c r="G25" s="63"/>
      <c r="H25" s="63"/>
      <c r="I25" s="63"/>
      <c r="J25" s="64">
        <v>8.0</v>
      </c>
      <c r="K25" s="63"/>
      <c r="L25" s="63"/>
      <c r="M25" s="64">
        <v>23.0</v>
      </c>
      <c r="N25" s="63"/>
      <c r="O25" s="64">
        <v>22.0</v>
      </c>
      <c r="P25" s="65"/>
    </row>
    <row r="26" ht="12.75" customHeight="1">
      <c r="A26" s="57" t="str">
        <f t="shared" si="1"/>
        <v/>
      </c>
      <c r="B26" s="58">
        <f t="shared" si="2"/>
        <v>23</v>
      </c>
      <c r="C26" s="59" t="s">
        <v>242</v>
      </c>
      <c r="D26" s="59" t="s">
        <v>65</v>
      </c>
      <c r="E26" s="60">
        <f t="shared" si="3"/>
        <v>49</v>
      </c>
      <c r="F26" s="61">
        <v>26.0</v>
      </c>
      <c r="G26" s="63"/>
      <c r="H26" s="61">
        <v>23.0</v>
      </c>
      <c r="I26" s="61"/>
      <c r="J26" s="61"/>
      <c r="K26" s="63"/>
      <c r="L26" s="63"/>
      <c r="M26" s="63"/>
      <c r="N26" s="61"/>
      <c r="O26" s="63"/>
      <c r="P26" s="65"/>
    </row>
    <row r="27" ht="12.75" customHeight="1">
      <c r="A27" s="57" t="str">
        <f t="shared" si="1"/>
        <v/>
      </c>
      <c r="B27" s="58">
        <f t="shared" si="2"/>
        <v>24</v>
      </c>
      <c r="C27" s="59" t="s">
        <v>243</v>
      </c>
      <c r="D27" s="59" t="s">
        <v>34</v>
      </c>
      <c r="E27" s="60">
        <f t="shared" si="3"/>
        <v>43</v>
      </c>
      <c r="F27" s="63"/>
      <c r="G27" s="63"/>
      <c r="H27" s="63"/>
      <c r="I27" s="61">
        <v>43.0</v>
      </c>
      <c r="J27" s="61"/>
      <c r="K27" s="63"/>
      <c r="L27" s="63"/>
      <c r="M27" s="63"/>
      <c r="N27" s="63"/>
      <c r="O27" s="63"/>
      <c r="P27" s="65"/>
    </row>
    <row r="28" ht="12.75" customHeight="1">
      <c r="A28" s="57" t="str">
        <f t="shared" si="1"/>
        <v>T</v>
      </c>
      <c r="B28" s="58">
        <f t="shared" si="2"/>
        <v>24</v>
      </c>
      <c r="C28" s="59" t="s">
        <v>244</v>
      </c>
      <c r="D28" s="59" t="s">
        <v>36</v>
      </c>
      <c r="E28" s="60">
        <f t="shared" si="3"/>
        <v>43</v>
      </c>
      <c r="F28" s="63"/>
      <c r="G28" s="63"/>
      <c r="H28" s="63"/>
      <c r="I28" s="61">
        <v>43.0</v>
      </c>
      <c r="J28" s="63"/>
      <c r="K28" s="63"/>
      <c r="L28" s="63"/>
      <c r="M28" s="63"/>
      <c r="N28" s="63"/>
      <c r="O28" s="63"/>
      <c r="P28" s="65"/>
    </row>
    <row r="29" ht="12.75" customHeight="1">
      <c r="A29" s="57" t="str">
        <f t="shared" si="1"/>
        <v>T</v>
      </c>
      <c r="B29" s="58">
        <f t="shared" si="2"/>
        <v>24</v>
      </c>
      <c r="C29" s="59" t="s">
        <v>100</v>
      </c>
      <c r="D29" s="59" t="s">
        <v>245</v>
      </c>
      <c r="E29" s="60">
        <f t="shared" si="3"/>
        <v>43</v>
      </c>
      <c r="F29" s="63"/>
      <c r="G29" s="63"/>
      <c r="H29" s="63"/>
      <c r="I29" s="61">
        <v>43.0</v>
      </c>
      <c r="J29" s="63"/>
      <c r="K29" s="63"/>
      <c r="L29" s="63"/>
      <c r="M29" s="63"/>
      <c r="N29" s="63"/>
      <c r="O29" s="63"/>
      <c r="P29" s="65"/>
    </row>
    <row r="30" ht="12.75" customHeight="1">
      <c r="A30" s="57" t="str">
        <f t="shared" si="1"/>
        <v>T</v>
      </c>
      <c r="B30" s="58">
        <f t="shared" si="2"/>
        <v>24</v>
      </c>
      <c r="C30" s="59" t="s">
        <v>246</v>
      </c>
      <c r="D30" s="59" t="s">
        <v>34</v>
      </c>
      <c r="E30" s="60">
        <f t="shared" si="3"/>
        <v>43</v>
      </c>
      <c r="F30" s="62"/>
      <c r="G30" s="63"/>
      <c r="H30" s="63"/>
      <c r="I30" s="61">
        <v>43.0</v>
      </c>
      <c r="J30" s="63"/>
      <c r="K30" s="63"/>
      <c r="L30" s="63"/>
      <c r="M30" s="63"/>
      <c r="N30" s="63"/>
      <c r="O30" s="63"/>
      <c r="P30" s="65"/>
    </row>
    <row r="31" ht="12.75" customHeight="1">
      <c r="A31" s="57" t="str">
        <f t="shared" si="1"/>
        <v/>
      </c>
      <c r="B31" s="58">
        <f t="shared" si="2"/>
        <v>28</v>
      </c>
      <c r="C31" s="59" t="s">
        <v>101</v>
      </c>
      <c r="D31" s="59" t="s">
        <v>102</v>
      </c>
      <c r="E31" s="60">
        <f t="shared" si="3"/>
        <v>37</v>
      </c>
      <c r="F31" s="62"/>
      <c r="G31" s="63"/>
      <c r="H31" s="63"/>
      <c r="I31" s="61"/>
      <c r="J31" s="61"/>
      <c r="K31" s="61"/>
      <c r="L31" s="63"/>
      <c r="M31" s="63"/>
      <c r="N31" s="63"/>
      <c r="O31" s="61">
        <v>14.0</v>
      </c>
      <c r="P31" s="66">
        <v>23.0</v>
      </c>
    </row>
    <row r="32" ht="12.75" customHeight="1">
      <c r="A32" s="57" t="str">
        <f t="shared" si="1"/>
        <v/>
      </c>
      <c r="B32" s="58">
        <f t="shared" si="2"/>
        <v>29</v>
      </c>
      <c r="C32" s="59" t="s">
        <v>244</v>
      </c>
      <c r="D32" s="59" t="s">
        <v>247</v>
      </c>
      <c r="E32" s="60">
        <f t="shared" si="3"/>
        <v>35</v>
      </c>
      <c r="F32" s="61">
        <v>12.0</v>
      </c>
      <c r="G32" s="63"/>
      <c r="H32" s="61">
        <v>23.0</v>
      </c>
      <c r="I32" s="61"/>
      <c r="J32" s="63"/>
      <c r="K32" s="63"/>
      <c r="L32" s="63"/>
      <c r="M32" s="63"/>
      <c r="N32" s="63"/>
      <c r="O32" s="63"/>
      <c r="P32" s="65"/>
    </row>
    <row r="33" ht="12.75" customHeight="1">
      <c r="A33" s="57" t="str">
        <f t="shared" si="1"/>
        <v/>
      </c>
      <c r="B33" s="58">
        <f t="shared" si="2"/>
        <v>30</v>
      </c>
      <c r="C33" s="59" t="s">
        <v>248</v>
      </c>
      <c r="D33" s="59" t="s">
        <v>65</v>
      </c>
      <c r="E33" s="60">
        <f t="shared" si="3"/>
        <v>30</v>
      </c>
      <c r="F33" s="63"/>
      <c r="G33" s="63"/>
      <c r="H33" s="63"/>
      <c r="I33" s="63"/>
      <c r="J33" s="64">
        <v>8.0</v>
      </c>
      <c r="K33" s="63"/>
      <c r="L33" s="63"/>
      <c r="M33" s="63"/>
      <c r="N33" s="61">
        <v>8.0</v>
      </c>
      <c r="O33" s="61"/>
      <c r="P33" s="66">
        <v>14.0</v>
      </c>
    </row>
    <row r="34" ht="12.75" customHeight="1">
      <c r="A34" s="57" t="str">
        <f t="shared" si="1"/>
        <v/>
      </c>
      <c r="B34" s="58">
        <f t="shared" si="2"/>
        <v>31</v>
      </c>
      <c r="C34" s="59" t="s">
        <v>249</v>
      </c>
      <c r="D34" s="59" t="s">
        <v>232</v>
      </c>
      <c r="E34" s="60">
        <f t="shared" si="3"/>
        <v>26</v>
      </c>
      <c r="F34" s="61">
        <v>18.0</v>
      </c>
      <c r="G34" s="63"/>
      <c r="H34" s="63"/>
      <c r="I34" s="63"/>
      <c r="J34" s="63"/>
      <c r="K34" s="63"/>
      <c r="L34" s="61">
        <v>8.0</v>
      </c>
      <c r="M34" s="61"/>
      <c r="N34" s="63"/>
      <c r="O34" s="63"/>
      <c r="P34" s="65"/>
    </row>
    <row r="35" ht="12.75" customHeight="1">
      <c r="A35" s="57" t="str">
        <f t="shared" si="1"/>
        <v/>
      </c>
      <c r="B35" s="58">
        <f t="shared" si="2"/>
        <v>32</v>
      </c>
      <c r="C35" s="59" t="s">
        <v>250</v>
      </c>
      <c r="D35" s="59" t="s">
        <v>251</v>
      </c>
      <c r="E35" s="60">
        <f t="shared" si="3"/>
        <v>23</v>
      </c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6">
        <v>23.0</v>
      </c>
    </row>
    <row r="36" ht="12.75" customHeight="1">
      <c r="A36" s="57" t="str">
        <f t="shared" si="1"/>
        <v>T</v>
      </c>
      <c r="B36" s="58">
        <f t="shared" si="2"/>
        <v>32</v>
      </c>
      <c r="C36" s="59" t="s">
        <v>252</v>
      </c>
      <c r="D36" s="59" t="s">
        <v>128</v>
      </c>
      <c r="E36" s="60">
        <f t="shared" si="3"/>
        <v>23</v>
      </c>
      <c r="F36" s="63"/>
      <c r="G36" s="63"/>
      <c r="H36" s="61">
        <v>23.0</v>
      </c>
      <c r="I36" s="63"/>
      <c r="J36" s="63"/>
      <c r="K36" s="63"/>
      <c r="L36" s="63"/>
      <c r="M36" s="63"/>
      <c r="N36" s="63"/>
      <c r="O36" s="63"/>
      <c r="P36" s="65"/>
    </row>
    <row r="37" ht="12.75" customHeight="1">
      <c r="A37" s="57" t="str">
        <f t="shared" si="1"/>
        <v>T</v>
      </c>
      <c r="B37" s="58">
        <f t="shared" si="2"/>
        <v>32</v>
      </c>
      <c r="C37" s="59" t="s">
        <v>253</v>
      </c>
      <c r="D37" s="59" t="s">
        <v>128</v>
      </c>
      <c r="E37" s="60">
        <f t="shared" si="3"/>
        <v>23</v>
      </c>
      <c r="F37" s="63"/>
      <c r="G37" s="63"/>
      <c r="H37" s="61">
        <v>23.0</v>
      </c>
      <c r="I37" s="63"/>
      <c r="J37" s="63"/>
      <c r="K37" s="63"/>
      <c r="L37" s="63"/>
      <c r="M37" s="63"/>
      <c r="N37" s="63"/>
      <c r="O37" s="63"/>
      <c r="P37" s="65"/>
    </row>
    <row r="38" ht="12.75" customHeight="1">
      <c r="A38" s="57" t="str">
        <f t="shared" si="1"/>
        <v/>
      </c>
      <c r="B38" s="58">
        <f t="shared" si="2"/>
        <v>35</v>
      </c>
      <c r="C38" s="59" t="s">
        <v>254</v>
      </c>
      <c r="D38" s="59" t="s">
        <v>32</v>
      </c>
      <c r="E38" s="60">
        <f t="shared" si="3"/>
        <v>22</v>
      </c>
      <c r="F38" s="63"/>
      <c r="G38" s="63"/>
      <c r="H38" s="61">
        <v>14.0</v>
      </c>
      <c r="I38" s="61"/>
      <c r="J38" s="63"/>
      <c r="K38" s="63"/>
      <c r="L38" s="64">
        <v>8.0</v>
      </c>
      <c r="M38" s="64"/>
      <c r="N38" s="63"/>
      <c r="O38" s="63"/>
      <c r="P38" s="65"/>
    </row>
    <row r="39" ht="12.75" customHeight="1">
      <c r="A39" s="57" t="str">
        <f t="shared" si="1"/>
        <v>T</v>
      </c>
      <c r="B39" s="58">
        <f t="shared" si="2"/>
        <v>35</v>
      </c>
      <c r="C39" s="59" t="s">
        <v>255</v>
      </c>
      <c r="D39" s="59" t="s">
        <v>32</v>
      </c>
      <c r="E39" s="60">
        <f t="shared" si="3"/>
        <v>22</v>
      </c>
      <c r="F39" s="63"/>
      <c r="G39" s="63"/>
      <c r="H39" s="61">
        <v>14.0</v>
      </c>
      <c r="I39" s="63"/>
      <c r="J39" s="63"/>
      <c r="K39" s="63"/>
      <c r="L39" s="61">
        <v>8.0</v>
      </c>
      <c r="M39" s="61"/>
      <c r="N39" s="63"/>
      <c r="O39" s="63"/>
      <c r="P39" s="65"/>
    </row>
    <row r="40" ht="12.75" customHeight="1">
      <c r="A40" s="57" t="str">
        <f t="shared" si="1"/>
        <v>T</v>
      </c>
      <c r="B40" s="58">
        <f t="shared" si="2"/>
        <v>35</v>
      </c>
      <c r="C40" s="59" t="s">
        <v>256</v>
      </c>
      <c r="D40" s="59" t="s">
        <v>232</v>
      </c>
      <c r="E40" s="60">
        <f t="shared" si="3"/>
        <v>22</v>
      </c>
      <c r="F40" s="63"/>
      <c r="G40" s="63"/>
      <c r="H40" s="61">
        <v>14.0</v>
      </c>
      <c r="I40" s="63"/>
      <c r="J40" s="63"/>
      <c r="K40" s="63"/>
      <c r="L40" s="64">
        <v>8.0</v>
      </c>
      <c r="M40" s="64"/>
      <c r="N40" s="63"/>
      <c r="O40" s="63"/>
      <c r="P40" s="65"/>
    </row>
    <row r="41" ht="12.75" customHeight="1">
      <c r="A41" s="57" t="str">
        <f t="shared" si="1"/>
        <v>T</v>
      </c>
      <c r="B41" s="58">
        <f t="shared" si="2"/>
        <v>35</v>
      </c>
      <c r="C41" s="59" t="s">
        <v>257</v>
      </c>
      <c r="D41" s="59" t="s">
        <v>57</v>
      </c>
      <c r="E41" s="60">
        <f t="shared" si="3"/>
        <v>22</v>
      </c>
      <c r="F41" s="63"/>
      <c r="G41" s="63"/>
      <c r="H41" s="63"/>
      <c r="I41" s="63"/>
      <c r="J41" s="63"/>
      <c r="K41" s="64">
        <v>14.0</v>
      </c>
      <c r="L41" s="61">
        <v>8.0</v>
      </c>
      <c r="M41" s="61"/>
      <c r="N41" s="63"/>
      <c r="O41" s="63"/>
      <c r="P41" s="65"/>
    </row>
    <row r="42" ht="12.75" customHeight="1">
      <c r="A42" s="57" t="str">
        <f t="shared" si="1"/>
        <v>T</v>
      </c>
      <c r="B42" s="58">
        <f t="shared" si="2"/>
        <v>35</v>
      </c>
      <c r="C42" s="59" t="s">
        <v>258</v>
      </c>
      <c r="D42" s="59" t="s">
        <v>57</v>
      </c>
      <c r="E42" s="60">
        <f t="shared" si="3"/>
        <v>22</v>
      </c>
      <c r="F42" s="63"/>
      <c r="G42" s="63"/>
      <c r="H42" s="63"/>
      <c r="I42" s="63"/>
      <c r="J42" s="63"/>
      <c r="K42" s="64">
        <v>14.0</v>
      </c>
      <c r="L42" s="61">
        <v>8.0</v>
      </c>
      <c r="M42" s="61"/>
      <c r="N42" s="63"/>
      <c r="O42" s="63"/>
      <c r="P42" s="65"/>
    </row>
    <row r="43" ht="12.75" customHeight="1">
      <c r="A43" s="57" t="str">
        <f t="shared" si="1"/>
        <v/>
      </c>
      <c r="B43" s="58">
        <f t="shared" si="2"/>
        <v>40</v>
      </c>
      <c r="C43" s="59" t="s">
        <v>21</v>
      </c>
      <c r="D43" s="59" t="s">
        <v>22</v>
      </c>
      <c r="E43" s="60">
        <f t="shared" si="3"/>
        <v>21</v>
      </c>
      <c r="F43" s="61">
        <v>7.0</v>
      </c>
      <c r="G43" s="63"/>
      <c r="H43" s="63"/>
      <c r="I43" s="63"/>
      <c r="J43" s="63"/>
      <c r="K43" s="63"/>
      <c r="L43" s="61"/>
      <c r="M43" s="61"/>
      <c r="N43" s="61"/>
      <c r="O43" s="63"/>
      <c r="P43" s="66">
        <v>14.0</v>
      </c>
    </row>
    <row r="44" ht="12.75" customHeight="1">
      <c r="A44" s="57" t="str">
        <f t="shared" si="1"/>
        <v/>
      </c>
      <c r="B44" s="58">
        <f t="shared" si="2"/>
        <v>41</v>
      </c>
      <c r="C44" s="59" t="s">
        <v>259</v>
      </c>
      <c r="D44" s="59" t="s">
        <v>82</v>
      </c>
      <c r="E44" s="60">
        <f t="shared" si="3"/>
        <v>14</v>
      </c>
      <c r="F44" s="63"/>
      <c r="G44" s="63"/>
      <c r="H44" s="63"/>
      <c r="I44" s="63"/>
      <c r="J44" s="63"/>
      <c r="K44" s="63"/>
      <c r="L44" s="63"/>
      <c r="M44" s="63"/>
      <c r="N44" s="61"/>
      <c r="O44" s="63"/>
      <c r="P44" s="66">
        <v>14.0</v>
      </c>
    </row>
    <row r="45" ht="12.75" customHeight="1">
      <c r="A45" s="57" t="str">
        <f t="shared" si="1"/>
        <v>T</v>
      </c>
      <c r="B45" s="58">
        <f t="shared" si="2"/>
        <v>41</v>
      </c>
      <c r="C45" s="59" t="s">
        <v>260</v>
      </c>
      <c r="D45" s="59" t="s">
        <v>82</v>
      </c>
      <c r="E45" s="60">
        <f t="shared" si="3"/>
        <v>14</v>
      </c>
      <c r="F45" s="63"/>
      <c r="G45" s="63"/>
      <c r="H45" s="63"/>
      <c r="I45" s="63"/>
      <c r="J45" s="63"/>
      <c r="K45" s="63"/>
      <c r="L45" s="63"/>
      <c r="M45" s="63"/>
      <c r="N45" s="61"/>
      <c r="O45" s="63"/>
      <c r="P45" s="66">
        <v>14.0</v>
      </c>
    </row>
    <row r="46" ht="12.75" customHeight="1">
      <c r="A46" s="57" t="str">
        <f t="shared" si="1"/>
        <v>T</v>
      </c>
      <c r="B46" s="58">
        <f t="shared" si="2"/>
        <v>41</v>
      </c>
      <c r="C46" s="59" t="s">
        <v>261</v>
      </c>
      <c r="D46" s="59" t="s">
        <v>34</v>
      </c>
      <c r="E46" s="60">
        <f t="shared" si="3"/>
        <v>14</v>
      </c>
      <c r="F46" s="63"/>
      <c r="G46" s="63"/>
      <c r="H46" s="63"/>
      <c r="I46" s="61"/>
      <c r="J46" s="61">
        <v>14.0</v>
      </c>
      <c r="K46" s="63"/>
      <c r="L46" s="63"/>
      <c r="M46" s="63"/>
      <c r="N46" s="63"/>
      <c r="O46" s="63"/>
      <c r="P46" s="65"/>
    </row>
    <row r="47" ht="12.75" customHeight="1">
      <c r="A47" s="57" t="str">
        <f t="shared" si="1"/>
        <v>T</v>
      </c>
      <c r="B47" s="58">
        <f t="shared" si="2"/>
        <v>41</v>
      </c>
      <c r="C47" s="59" t="s">
        <v>262</v>
      </c>
      <c r="D47" s="59" t="s">
        <v>32</v>
      </c>
      <c r="E47" s="60">
        <f t="shared" si="3"/>
        <v>14</v>
      </c>
      <c r="F47" s="63"/>
      <c r="G47" s="63"/>
      <c r="H47" s="61">
        <v>14.0</v>
      </c>
      <c r="I47" s="63"/>
      <c r="J47" s="63"/>
      <c r="K47" s="63"/>
      <c r="L47" s="63"/>
      <c r="M47" s="63"/>
      <c r="N47" s="63"/>
      <c r="O47" s="63"/>
      <c r="P47" s="65"/>
    </row>
    <row r="48" ht="12.75" customHeight="1">
      <c r="A48" s="57" t="str">
        <f t="shared" si="1"/>
        <v>T</v>
      </c>
      <c r="B48" s="58">
        <f t="shared" si="2"/>
        <v>41</v>
      </c>
      <c r="C48" s="59" t="s">
        <v>105</v>
      </c>
      <c r="D48" s="59" t="s">
        <v>263</v>
      </c>
      <c r="E48" s="60">
        <f t="shared" si="3"/>
        <v>14</v>
      </c>
      <c r="F48" s="63"/>
      <c r="G48" s="63"/>
      <c r="H48" s="63"/>
      <c r="I48" s="63"/>
      <c r="J48" s="64">
        <v>14.0</v>
      </c>
      <c r="K48" s="63"/>
      <c r="L48" s="63"/>
      <c r="M48" s="63"/>
      <c r="N48" s="63"/>
      <c r="O48" s="63"/>
      <c r="P48" s="65"/>
    </row>
    <row r="49" ht="12.75" customHeight="1">
      <c r="A49" s="57" t="str">
        <f t="shared" si="1"/>
        <v>T</v>
      </c>
      <c r="B49" s="58">
        <f t="shared" si="2"/>
        <v>41</v>
      </c>
      <c r="C49" s="59" t="s">
        <v>59</v>
      </c>
      <c r="D49" s="59" t="s">
        <v>34</v>
      </c>
      <c r="E49" s="60">
        <f t="shared" si="3"/>
        <v>14</v>
      </c>
      <c r="F49" s="63"/>
      <c r="G49" s="63"/>
      <c r="H49" s="63"/>
      <c r="I49" s="63"/>
      <c r="J49" s="64">
        <v>14.0</v>
      </c>
      <c r="K49" s="63"/>
      <c r="L49" s="63"/>
      <c r="M49" s="63"/>
      <c r="N49" s="63"/>
      <c r="O49" s="63"/>
      <c r="P49" s="65"/>
    </row>
    <row r="50" ht="12.75" customHeight="1">
      <c r="A50" s="57" t="str">
        <f t="shared" si="1"/>
        <v/>
      </c>
      <c r="B50" s="58">
        <f t="shared" si="2"/>
        <v>47</v>
      </c>
      <c r="C50" s="59" t="s">
        <v>264</v>
      </c>
      <c r="D50" s="59" t="s">
        <v>265</v>
      </c>
      <c r="E50" s="60">
        <f t="shared" si="3"/>
        <v>12</v>
      </c>
      <c r="F50" s="63"/>
      <c r="G50" s="61">
        <v>12.0</v>
      </c>
      <c r="H50" s="63"/>
      <c r="I50" s="63"/>
      <c r="J50" s="63"/>
      <c r="K50" s="63"/>
      <c r="L50" s="61"/>
      <c r="M50" s="61"/>
      <c r="N50" s="63"/>
      <c r="O50" s="63"/>
      <c r="P50" s="65"/>
    </row>
    <row r="51" ht="12.75" customHeight="1">
      <c r="A51" s="57" t="str">
        <f t="shared" si="1"/>
        <v>T</v>
      </c>
      <c r="B51" s="58">
        <f t="shared" si="2"/>
        <v>47</v>
      </c>
      <c r="C51" s="59" t="s">
        <v>266</v>
      </c>
      <c r="D51" s="59" t="s">
        <v>265</v>
      </c>
      <c r="E51" s="60">
        <f t="shared" si="3"/>
        <v>12</v>
      </c>
      <c r="F51" s="63"/>
      <c r="G51" s="61">
        <v>12.0</v>
      </c>
      <c r="H51" s="63"/>
      <c r="I51" s="63"/>
      <c r="J51" s="63"/>
      <c r="K51" s="63"/>
      <c r="L51" s="61"/>
      <c r="M51" s="61"/>
      <c r="N51" s="63"/>
      <c r="O51" s="63"/>
      <c r="P51" s="65"/>
    </row>
    <row r="52" ht="12.75" customHeight="1">
      <c r="A52" s="57" t="str">
        <f t="shared" si="1"/>
        <v/>
      </c>
      <c r="B52" s="58">
        <f t="shared" si="2"/>
        <v>49</v>
      </c>
      <c r="C52" s="59" t="s">
        <v>267</v>
      </c>
      <c r="D52" s="59" t="s">
        <v>49</v>
      </c>
      <c r="E52" s="60">
        <f t="shared" si="3"/>
        <v>8</v>
      </c>
      <c r="F52" s="63"/>
      <c r="G52" s="63"/>
      <c r="H52" s="63"/>
      <c r="I52" s="61"/>
      <c r="J52" s="64">
        <v>8.0</v>
      </c>
      <c r="K52" s="63"/>
      <c r="L52" s="63"/>
      <c r="M52" s="63"/>
      <c r="N52" s="63"/>
      <c r="O52" s="63"/>
      <c r="P52" s="65"/>
    </row>
    <row r="53" ht="12.75" customHeight="1">
      <c r="A53" s="57" t="str">
        <f t="shared" si="1"/>
        <v>T</v>
      </c>
      <c r="B53" s="58">
        <f t="shared" si="2"/>
        <v>49</v>
      </c>
      <c r="C53" s="59" t="s">
        <v>268</v>
      </c>
      <c r="D53" s="59" t="s">
        <v>269</v>
      </c>
      <c r="E53" s="60">
        <f t="shared" si="3"/>
        <v>8</v>
      </c>
      <c r="F53" s="63"/>
      <c r="G53" s="63"/>
      <c r="H53" s="63"/>
      <c r="I53" s="63"/>
      <c r="J53" s="63"/>
      <c r="K53" s="63"/>
      <c r="L53" s="61">
        <v>8.0</v>
      </c>
      <c r="M53" s="61"/>
      <c r="N53" s="63"/>
      <c r="O53" s="63"/>
      <c r="P53" s="65"/>
    </row>
    <row r="54" ht="12.75" customHeight="1">
      <c r="A54" s="57" t="str">
        <f t="shared" si="1"/>
        <v>T</v>
      </c>
      <c r="B54" s="58">
        <f t="shared" si="2"/>
        <v>49</v>
      </c>
      <c r="C54" s="59" t="s">
        <v>270</v>
      </c>
      <c r="D54" s="59" t="s">
        <v>102</v>
      </c>
      <c r="E54" s="60">
        <f t="shared" si="3"/>
        <v>8</v>
      </c>
      <c r="F54" s="63"/>
      <c r="G54" s="63"/>
      <c r="H54" s="63"/>
      <c r="I54" s="63"/>
      <c r="J54" s="64">
        <v>8.0</v>
      </c>
      <c r="K54" s="63"/>
      <c r="L54" s="63"/>
      <c r="M54" s="63"/>
      <c r="N54" s="63"/>
      <c r="O54" s="63"/>
      <c r="P54" s="65"/>
    </row>
    <row r="55" ht="12.75" customHeight="1">
      <c r="A55" s="57" t="str">
        <f t="shared" si="1"/>
        <v>T</v>
      </c>
      <c r="B55" s="58">
        <f t="shared" si="2"/>
        <v>49</v>
      </c>
      <c r="C55" s="59" t="s">
        <v>271</v>
      </c>
      <c r="D55" s="59" t="s">
        <v>65</v>
      </c>
      <c r="E55" s="60">
        <f t="shared" si="3"/>
        <v>8</v>
      </c>
      <c r="F55" s="63"/>
      <c r="G55" s="63"/>
      <c r="H55" s="63"/>
      <c r="I55" s="63"/>
      <c r="J55" s="64">
        <v>8.0</v>
      </c>
      <c r="K55" s="63"/>
      <c r="L55" s="63"/>
      <c r="M55" s="63"/>
      <c r="N55" s="63"/>
      <c r="O55" s="63"/>
      <c r="P55" s="65"/>
    </row>
    <row r="56" ht="12.75" customHeight="1">
      <c r="A56" s="57" t="str">
        <f t="shared" si="1"/>
        <v>T</v>
      </c>
      <c r="B56" s="58">
        <f t="shared" si="2"/>
        <v>49</v>
      </c>
      <c r="C56" s="59" t="s">
        <v>272</v>
      </c>
      <c r="D56" s="59" t="s">
        <v>273</v>
      </c>
      <c r="E56" s="60">
        <f t="shared" si="3"/>
        <v>8</v>
      </c>
      <c r="F56" s="63"/>
      <c r="G56" s="63"/>
      <c r="H56" s="63"/>
      <c r="I56" s="63"/>
      <c r="J56" s="63"/>
      <c r="K56" s="64">
        <v>8.0</v>
      </c>
      <c r="L56" s="61"/>
      <c r="M56" s="61"/>
      <c r="N56" s="63"/>
      <c r="O56" s="63"/>
      <c r="P56" s="65"/>
    </row>
    <row r="57" ht="12.75" customHeight="1">
      <c r="A57" s="57" t="str">
        <f t="shared" si="1"/>
        <v>T</v>
      </c>
      <c r="B57" s="58">
        <f t="shared" si="2"/>
        <v>49</v>
      </c>
      <c r="C57" s="59" t="s">
        <v>94</v>
      </c>
      <c r="D57" s="59" t="s">
        <v>274</v>
      </c>
      <c r="E57" s="60">
        <f t="shared" si="3"/>
        <v>8</v>
      </c>
      <c r="F57" s="63"/>
      <c r="G57" s="63"/>
      <c r="H57" s="63"/>
      <c r="I57" s="63"/>
      <c r="J57" s="63"/>
      <c r="K57" s="64">
        <v>8.0</v>
      </c>
      <c r="L57" s="61"/>
      <c r="M57" s="61"/>
      <c r="N57" s="63"/>
      <c r="O57" s="63"/>
      <c r="P57" s="65"/>
    </row>
    <row r="58" ht="12.75" customHeight="1">
      <c r="A58" s="57" t="str">
        <f t="shared" si="1"/>
        <v>T</v>
      </c>
      <c r="B58" s="58">
        <f t="shared" si="2"/>
        <v>49</v>
      </c>
      <c r="C58" s="16" t="s">
        <v>275</v>
      </c>
      <c r="D58" s="16" t="s">
        <v>276</v>
      </c>
      <c r="E58" s="60">
        <f t="shared" si="3"/>
        <v>8</v>
      </c>
      <c r="F58" s="63"/>
      <c r="G58" s="63"/>
      <c r="H58" s="63"/>
      <c r="I58" s="61"/>
      <c r="J58" s="63"/>
      <c r="K58" s="63"/>
      <c r="L58" s="63"/>
      <c r="M58" s="63"/>
      <c r="N58" s="64">
        <v>8.0</v>
      </c>
      <c r="O58" s="63"/>
      <c r="P58" s="65"/>
    </row>
    <row r="59" ht="12.75" customHeight="1">
      <c r="A59" s="57" t="str">
        <f t="shared" si="1"/>
        <v>T</v>
      </c>
      <c r="B59" s="58">
        <f t="shared" si="2"/>
        <v>49</v>
      </c>
      <c r="C59" s="12" t="s">
        <v>277</v>
      </c>
      <c r="D59" s="16" t="s">
        <v>32</v>
      </c>
      <c r="E59" s="60">
        <f t="shared" si="3"/>
        <v>8</v>
      </c>
      <c r="F59" s="63"/>
      <c r="G59" s="63"/>
      <c r="H59" s="63"/>
      <c r="I59" s="61"/>
      <c r="J59" s="63"/>
      <c r="K59" s="63"/>
      <c r="L59" s="63"/>
      <c r="M59" s="63"/>
      <c r="N59" s="64">
        <v>8.0</v>
      </c>
      <c r="O59" s="63"/>
      <c r="P59" s="65"/>
    </row>
    <row r="60" ht="12.75" customHeight="1">
      <c r="A60" s="57" t="str">
        <f t="shared" si="1"/>
        <v/>
      </c>
      <c r="B60" s="58">
        <f t="shared" si="2"/>
        <v>57</v>
      </c>
      <c r="C60" s="59" t="s">
        <v>278</v>
      </c>
      <c r="D60" s="59" t="s">
        <v>32</v>
      </c>
      <c r="E60" s="60">
        <f t="shared" si="3"/>
        <v>7</v>
      </c>
      <c r="F60" s="63"/>
      <c r="G60" s="61">
        <v>7.0</v>
      </c>
      <c r="H60" s="63"/>
      <c r="I60" s="63"/>
      <c r="J60" s="63"/>
      <c r="K60" s="63"/>
      <c r="L60" s="61"/>
      <c r="M60" s="61"/>
      <c r="N60" s="63"/>
      <c r="O60" s="61"/>
      <c r="P60" s="65"/>
    </row>
    <row r="61" ht="12.75" customHeight="1">
      <c r="A61" s="57" t="str">
        <f t="shared" si="1"/>
        <v>T</v>
      </c>
      <c r="B61" s="58">
        <f t="shared" si="2"/>
        <v>57</v>
      </c>
      <c r="C61" s="59" t="s">
        <v>279</v>
      </c>
      <c r="D61" s="59" t="s">
        <v>32</v>
      </c>
      <c r="E61" s="60">
        <f t="shared" si="3"/>
        <v>7</v>
      </c>
      <c r="F61" s="63"/>
      <c r="G61" s="61">
        <v>7.0</v>
      </c>
      <c r="H61" s="63"/>
      <c r="I61" s="63"/>
      <c r="J61" s="63"/>
      <c r="K61" s="63"/>
      <c r="L61" s="63"/>
      <c r="M61" s="63"/>
      <c r="N61" s="63"/>
      <c r="O61" s="63"/>
      <c r="P61" s="65"/>
    </row>
    <row r="62" ht="12.75" customHeight="1">
      <c r="A62" s="57" t="str">
        <f t="shared" si="1"/>
        <v>T</v>
      </c>
      <c r="B62" s="58">
        <f t="shared" si="2"/>
        <v>57</v>
      </c>
      <c r="C62" s="59" t="s">
        <v>280</v>
      </c>
      <c r="D62" s="59" t="s">
        <v>32</v>
      </c>
      <c r="E62" s="60">
        <f t="shared" si="3"/>
        <v>7</v>
      </c>
      <c r="F62" s="63"/>
      <c r="G62" s="61">
        <v>7.0</v>
      </c>
      <c r="H62" s="63"/>
      <c r="I62" s="63"/>
      <c r="J62" s="63"/>
      <c r="K62" s="63"/>
      <c r="L62" s="63"/>
      <c r="M62" s="63"/>
      <c r="N62" s="63"/>
      <c r="O62" s="63"/>
      <c r="P62" s="65"/>
    </row>
    <row r="63" ht="12.75" customHeight="1">
      <c r="A63" s="57" t="str">
        <f t="shared" si="1"/>
        <v>T</v>
      </c>
      <c r="B63" s="58">
        <f t="shared" si="2"/>
        <v>57</v>
      </c>
      <c r="C63" s="59" t="s">
        <v>281</v>
      </c>
      <c r="D63" s="59" t="s">
        <v>51</v>
      </c>
      <c r="E63" s="60">
        <f t="shared" si="3"/>
        <v>7</v>
      </c>
      <c r="F63" s="63"/>
      <c r="G63" s="61">
        <v>7.0</v>
      </c>
      <c r="H63" s="63"/>
      <c r="I63" s="63"/>
      <c r="J63" s="63"/>
      <c r="K63" s="63"/>
      <c r="L63" s="63"/>
      <c r="M63" s="63"/>
      <c r="N63" s="63"/>
      <c r="O63" s="63"/>
      <c r="P63" s="65"/>
    </row>
    <row r="64" ht="12.75" customHeight="1">
      <c r="A64" s="57"/>
      <c r="B64" s="58"/>
      <c r="C64" s="59"/>
      <c r="D64" s="59"/>
      <c r="E64" s="60"/>
      <c r="F64" s="63"/>
      <c r="G64" s="63"/>
      <c r="H64" s="63"/>
      <c r="I64" s="63"/>
      <c r="J64" s="63"/>
      <c r="K64" s="63"/>
      <c r="L64" s="63"/>
      <c r="M64" s="63"/>
      <c r="N64" s="61"/>
      <c r="O64" s="61"/>
      <c r="P64" s="65"/>
    </row>
    <row r="65" ht="12.75" customHeight="1">
      <c r="A65" s="57"/>
      <c r="B65" s="58"/>
      <c r="C65" s="59"/>
      <c r="D65" s="59"/>
      <c r="E65" s="60"/>
      <c r="F65" s="63"/>
      <c r="G65" s="63"/>
      <c r="H65" s="63"/>
      <c r="I65" s="61"/>
      <c r="J65" s="63"/>
      <c r="K65" s="63"/>
      <c r="L65" s="63"/>
      <c r="M65" s="63"/>
      <c r="N65" s="63"/>
      <c r="O65" s="63"/>
      <c r="P65" s="65"/>
    </row>
    <row r="66" ht="12.75" customHeight="1">
      <c r="A66" s="57"/>
      <c r="B66" s="58"/>
      <c r="C66" s="59"/>
      <c r="D66" s="59"/>
      <c r="E66" s="60"/>
      <c r="F66" s="63"/>
      <c r="G66" s="63"/>
      <c r="H66" s="63"/>
      <c r="I66" s="61"/>
      <c r="J66" s="63"/>
      <c r="K66" s="63"/>
      <c r="L66" s="63"/>
      <c r="M66" s="63"/>
      <c r="N66" s="63"/>
      <c r="O66" s="63"/>
      <c r="P66" s="65"/>
    </row>
    <row r="67" ht="12.75" customHeight="1">
      <c r="A67" s="57"/>
      <c r="B67" s="58"/>
      <c r="C67" s="59"/>
      <c r="D67" s="59"/>
      <c r="E67" s="60"/>
      <c r="F67" s="63"/>
      <c r="G67" s="63"/>
      <c r="H67" s="63"/>
      <c r="I67" s="61"/>
      <c r="J67" s="63"/>
      <c r="K67" s="63"/>
      <c r="L67" s="63"/>
      <c r="M67" s="63"/>
      <c r="N67" s="63"/>
      <c r="O67" s="63"/>
      <c r="P67" s="65"/>
    </row>
    <row r="68" ht="12.75" customHeight="1">
      <c r="A68" s="57"/>
      <c r="B68" s="58"/>
      <c r="C68" s="59"/>
      <c r="D68" s="59"/>
      <c r="E68" s="60"/>
      <c r="F68" s="63"/>
      <c r="G68" s="63"/>
      <c r="H68" s="63"/>
      <c r="I68" s="61"/>
      <c r="J68" s="63"/>
      <c r="K68" s="63"/>
      <c r="L68" s="63"/>
      <c r="M68" s="63"/>
      <c r="N68" s="63"/>
      <c r="O68" s="63"/>
      <c r="P68" s="65"/>
    </row>
    <row r="69" ht="12.75" customHeight="1">
      <c r="A69" s="57"/>
      <c r="B69" s="58"/>
      <c r="C69" s="59"/>
      <c r="D69" s="59"/>
      <c r="E69" s="60"/>
      <c r="F69" s="63"/>
      <c r="G69" s="63"/>
      <c r="H69" s="63"/>
      <c r="I69" s="61"/>
      <c r="J69" s="63"/>
      <c r="K69" s="63"/>
      <c r="L69" s="63"/>
      <c r="M69" s="63"/>
      <c r="N69" s="63"/>
      <c r="O69" s="63"/>
      <c r="P69" s="65"/>
    </row>
    <row r="70" ht="12.75" customHeight="1">
      <c r="A70" s="57"/>
      <c r="B70" s="58"/>
      <c r="C70" s="59"/>
      <c r="D70" s="59"/>
      <c r="E70" s="60"/>
      <c r="F70" s="63"/>
      <c r="G70" s="63"/>
      <c r="H70" s="63"/>
      <c r="I70" s="61"/>
      <c r="J70" s="63"/>
      <c r="K70" s="63"/>
      <c r="L70" s="63"/>
      <c r="M70" s="63"/>
      <c r="N70" s="63"/>
      <c r="O70" s="63"/>
      <c r="P70" s="65"/>
    </row>
    <row r="71" ht="12.75" customHeight="1">
      <c r="A71" s="57"/>
      <c r="B71" s="58"/>
      <c r="C71" s="59"/>
      <c r="D71" s="59"/>
      <c r="E71" s="60"/>
      <c r="F71" s="63"/>
      <c r="G71" s="63"/>
      <c r="H71" s="63"/>
      <c r="I71" s="61"/>
      <c r="J71" s="63"/>
      <c r="K71" s="63"/>
      <c r="L71" s="63"/>
      <c r="M71" s="63"/>
      <c r="N71" s="63"/>
      <c r="O71" s="63"/>
      <c r="P71" s="65"/>
    </row>
    <row r="72" ht="12.75" customHeight="1">
      <c r="A72" s="57"/>
      <c r="B72" s="58"/>
      <c r="C72" s="59"/>
      <c r="D72" s="59"/>
      <c r="E72" s="60"/>
      <c r="F72" s="63"/>
      <c r="G72" s="63"/>
      <c r="H72" s="63"/>
      <c r="I72" s="61"/>
      <c r="J72" s="63"/>
      <c r="K72" s="63"/>
      <c r="L72" s="63"/>
      <c r="M72" s="63"/>
      <c r="N72" s="63"/>
      <c r="O72" s="63"/>
      <c r="P72" s="65"/>
    </row>
    <row r="73" ht="12.75" customHeight="1">
      <c r="A73" s="57"/>
      <c r="B73" s="58"/>
      <c r="C73" s="59"/>
      <c r="D73" s="59"/>
      <c r="E73" s="60"/>
      <c r="F73" s="63"/>
      <c r="G73" s="63"/>
      <c r="H73" s="63"/>
      <c r="I73" s="63"/>
      <c r="J73" s="61"/>
      <c r="K73" s="63"/>
      <c r="L73" s="63"/>
      <c r="M73" s="63"/>
      <c r="N73" s="63"/>
      <c r="O73" s="63"/>
      <c r="P73" s="65"/>
    </row>
    <row r="74" ht="12.75" customHeight="1">
      <c r="A74" s="67"/>
      <c r="B74" s="67"/>
      <c r="C74" s="67"/>
      <c r="D74" s="67"/>
      <c r="E74" s="67"/>
      <c r="F74" s="68"/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ht="12.75" customHeight="1">
      <c r="A75" s="69" t="s">
        <v>137</v>
      </c>
      <c r="B75" s="70"/>
      <c r="C75" s="71" t="s">
        <v>282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5"/>
    </row>
    <row r="76" ht="12.75" customHeight="1">
      <c r="A76" s="69" t="s">
        <v>137</v>
      </c>
      <c r="B76" s="72"/>
      <c r="C76" s="73" t="s">
        <v>283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1"/>
    </row>
    <row r="77" ht="12.75" customHeight="1">
      <c r="A77" s="67"/>
      <c r="B77" s="67"/>
      <c r="C77" s="67"/>
      <c r="D77" s="67"/>
      <c r="E77" s="67"/>
      <c r="F77" s="67"/>
      <c r="G77" s="68"/>
      <c r="H77" s="67"/>
      <c r="I77" s="67"/>
      <c r="J77" s="67"/>
      <c r="K77" s="67"/>
      <c r="L77" s="67"/>
      <c r="M77" s="67"/>
      <c r="N77" s="67"/>
      <c r="O77" s="67"/>
      <c r="P77" s="67"/>
    </row>
    <row r="78" ht="12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</row>
    <row r="79" ht="12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</row>
    <row r="80" ht="12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</row>
    <row r="81" ht="12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</row>
    <row r="82" ht="12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</row>
    <row r="84" ht="12.75" customHeight="1">
      <c r="A84" s="47"/>
      <c r="B84" s="67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</row>
    <row r="85" ht="12.75" customHeight="1">
      <c r="A85" s="47"/>
      <c r="B85" s="4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</row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</sheetData>
  <mergeCells count="4">
    <mergeCell ref="B1:D1"/>
    <mergeCell ref="A3:B3"/>
    <mergeCell ref="C75:P75"/>
    <mergeCell ref="C76:P76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.63"/>
    <col customWidth="1" min="3" max="3" width="11.63"/>
    <col customWidth="1" min="4" max="4" width="14.38"/>
    <col customWidth="1" min="5" max="5" width="5.5"/>
    <col customWidth="1" min="6" max="6" width="7.13"/>
    <col customWidth="1" min="7" max="7" width="5.75"/>
    <col customWidth="1" min="8" max="8" width="5.88"/>
    <col customWidth="1" min="9" max="9" width="6.13"/>
    <col customWidth="1" min="10" max="10" width="6.0"/>
    <col customWidth="1" min="11" max="11" width="7.25"/>
  </cols>
  <sheetData>
    <row r="1" ht="16.5" customHeight="1">
      <c r="B1" s="74" t="s">
        <v>284</v>
      </c>
    </row>
    <row r="2" ht="12.75" customHeight="1">
      <c r="A2" s="5"/>
      <c r="B2" s="28"/>
      <c r="C2" s="5"/>
      <c r="D2" s="5"/>
      <c r="E2" s="5"/>
      <c r="F2" s="42"/>
      <c r="G2" s="34"/>
      <c r="H2" s="34"/>
      <c r="I2" s="34"/>
      <c r="J2" s="34"/>
      <c r="K2" s="35"/>
    </row>
    <row r="3" ht="12.75" customHeight="1">
      <c r="A3" s="75"/>
      <c r="B3" s="43"/>
      <c r="C3" s="43" t="s">
        <v>2</v>
      </c>
      <c r="D3" s="43" t="s">
        <v>3</v>
      </c>
      <c r="E3" s="43" t="s">
        <v>4</v>
      </c>
      <c r="F3" s="76" t="s">
        <v>285</v>
      </c>
      <c r="G3" s="44" t="s">
        <v>286</v>
      </c>
      <c r="H3" s="77" t="s">
        <v>287</v>
      </c>
      <c r="I3" s="29" t="s">
        <v>13</v>
      </c>
      <c r="J3" s="29" t="s">
        <v>16</v>
      </c>
      <c r="K3" s="29" t="s">
        <v>17</v>
      </c>
    </row>
    <row r="4" ht="12.75" customHeight="1">
      <c r="A4" s="24" t="str">
        <f t="shared" ref="A4:A38" si="1">IF(B3=B4,"T","")</f>
        <v/>
      </c>
      <c r="B4" s="59">
        <f t="shared" ref="B4:B38" si="2">RANK(E4,$E$4:$E$38,0)</f>
        <v>1</v>
      </c>
      <c r="C4" s="59" t="s">
        <v>288</v>
      </c>
      <c r="D4" s="59" t="s">
        <v>53</v>
      </c>
      <c r="E4" s="60">
        <f t="shared" ref="E4:E38" si="3">SUM(F4:K4)</f>
        <v>105</v>
      </c>
      <c r="F4" s="63"/>
      <c r="G4" s="61">
        <v>41.0</v>
      </c>
      <c r="H4" s="61">
        <v>32.0</v>
      </c>
      <c r="I4" s="61">
        <v>32.0</v>
      </c>
      <c r="J4" s="63"/>
      <c r="K4" s="78"/>
    </row>
    <row r="5" ht="12.75" customHeight="1">
      <c r="A5" s="24" t="str">
        <f t="shared" si="1"/>
        <v/>
      </c>
      <c r="B5" s="59">
        <f t="shared" si="2"/>
        <v>2</v>
      </c>
      <c r="C5" s="59" t="s">
        <v>289</v>
      </c>
      <c r="D5" s="59" t="s">
        <v>53</v>
      </c>
      <c r="E5" s="60">
        <f t="shared" si="3"/>
        <v>101</v>
      </c>
      <c r="F5" s="62"/>
      <c r="G5" s="61">
        <v>41.0</v>
      </c>
      <c r="H5" s="64">
        <v>14.0</v>
      </c>
      <c r="I5" s="61">
        <v>32.0</v>
      </c>
      <c r="J5" s="64">
        <v>14.0</v>
      </c>
      <c r="K5" s="78"/>
    </row>
    <row r="6" ht="12.75" customHeight="1">
      <c r="A6" s="24" t="str">
        <f t="shared" si="1"/>
        <v/>
      </c>
      <c r="B6" s="59">
        <f t="shared" si="2"/>
        <v>3</v>
      </c>
      <c r="C6" s="59" t="s">
        <v>290</v>
      </c>
      <c r="D6" s="59" t="s">
        <v>61</v>
      </c>
      <c r="E6" s="60">
        <f t="shared" si="3"/>
        <v>85</v>
      </c>
      <c r="F6" s="62"/>
      <c r="G6" s="61">
        <v>63.0</v>
      </c>
      <c r="H6" s="63"/>
      <c r="I6" s="64">
        <v>22.0</v>
      </c>
      <c r="J6" s="63"/>
      <c r="K6" s="78"/>
    </row>
    <row r="7" ht="12.75" customHeight="1">
      <c r="A7" s="24" t="str">
        <f t="shared" si="1"/>
        <v>T</v>
      </c>
      <c r="B7" s="59">
        <f t="shared" si="2"/>
        <v>3</v>
      </c>
      <c r="C7" s="59" t="s">
        <v>291</v>
      </c>
      <c r="D7" s="59" t="s">
        <v>111</v>
      </c>
      <c r="E7" s="60">
        <f t="shared" si="3"/>
        <v>85</v>
      </c>
      <c r="F7" s="62"/>
      <c r="G7" s="61">
        <v>63.0</v>
      </c>
      <c r="H7" s="63"/>
      <c r="I7" s="64">
        <v>22.0</v>
      </c>
      <c r="J7" s="63"/>
      <c r="K7" s="78"/>
    </row>
    <row r="8" ht="12.75" customHeight="1">
      <c r="A8" s="24" t="str">
        <f t="shared" si="1"/>
        <v/>
      </c>
      <c r="B8" s="59">
        <f t="shared" si="2"/>
        <v>5</v>
      </c>
      <c r="C8" s="59" t="s">
        <v>292</v>
      </c>
      <c r="D8" s="59" t="s">
        <v>32</v>
      </c>
      <c r="E8" s="60">
        <f t="shared" si="3"/>
        <v>76</v>
      </c>
      <c r="F8" s="61">
        <v>8.0</v>
      </c>
      <c r="G8" s="63"/>
      <c r="H8" s="64">
        <v>22.0</v>
      </c>
      <c r="I8" s="61">
        <v>14.0</v>
      </c>
      <c r="J8" s="63"/>
      <c r="K8" s="61">
        <v>32.0</v>
      </c>
    </row>
    <row r="9" ht="12.75" customHeight="1">
      <c r="A9" s="24" t="str">
        <f t="shared" si="1"/>
        <v>T</v>
      </c>
      <c r="B9" s="59">
        <f t="shared" si="2"/>
        <v>5</v>
      </c>
      <c r="C9" s="59" t="s">
        <v>293</v>
      </c>
      <c r="D9" s="59" t="s">
        <v>99</v>
      </c>
      <c r="E9" s="60">
        <f t="shared" si="3"/>
        <v>76</v>
      </c>
      <c r="F9" s="61">
        <v>8.0</v>
      </c>
      <c r="G9" s="63"/>
      <c r="H9" s="64">
        <v>22.0</v>
      </c>
      <c r="I9" s="64">
        <v>14.0</v>
      </c>
      <c r="J9" s="63"/>
      <c r="K9" s="61">
        <v>32.0</v>
      </c>
    </row>
    <row r="10" ht="12.75" customHeight="1">
      <c r="A10" s="24" t="str">
        <f t="shared" si="1"/>
        <v/>
      </c>
      <c r="B10" s="59">
        <f t="shared" si="2"/>
        <v>7</v>
      </c>
      <c r="C10" s="59" t="s">
        <v>294</v>
      </c>
      <c r="D10" s="59" t="s">
        <v>45</v>
      </c>
      <c r="E10" s="60">
        <f t="shared" si="3"/>
        <v>45</v>
      </c>
      <c r="F10" s="63"/>
      <c r="G10" s="61">
        <v>23.0</v>
      </c>
      <c r="H10" s="63"/>
      <c r="I10" s="63"/>
      <c r="J10" s="61">
        <v>22.0</v>
      </c>
      <c r="K10" s="78"/>
    </row>
    <row r="11" ht="12.75" customHeight="1">
      <c r="A11" s="24" t="str">
        <f t="shared" si="1"/>
        <v>T</v>
      </c>
      <c r="B11" s="59">
        <f t="shared" si="2"/>
        <v>7</v>
      </c>
      <c r="C11" s="59" t="s">
        <v>295</v>
      </c>
      <c r="D11" s="59" t="s">
        <v>296</v>
      </c>
      <c r="E11" s="60">
        <f t="shared" si="3"/>
        <v>45</v>
      </c>
      <c r="F11" s="63"/>
      <c r="G11" s="61">
        <v>23.0</v>
      </c>
      <c r="H11" s="63"/>
      <c r="I11" s="63"/>
      <c r="J11" s="61">
        <v>22.0</v>
      </c>
      <c r="K11" s="78"/>
    </row>
    <row r="12" ht="12.75" customHeight="1">
      <c r="A12" s="24" t="str">
        <f t="shared" si="1"/>
        <v/>
      </c>
      <c r="B12" s="59">
        <f t="shared" si="2"/>
        <v>9</v>
      </c>
      <c r="C12" s="59" t="s">
        <v>297</v>
      </c>
      <c r="D12" s="59" t="s">
        <v>36</v>
      </c>
      <c r="E12" s="60">
        <f t="shared" si="3"/>
        <v>42</v>
      </c>
      <c r="F12" s="61">
        <v>14.0</v>
      </c>
      <c r="G12" s="63"/>
      <c r="H12" s="64">
        <v>14.0</v>
      </c>
      <c r="I12" s="63"/>
      <c r="J12" s="61">
        <v>14.0</v>
      </c>
      <c r="K12" s="78"/>
    </row>
    <row r="13" ht="12.75" customHeight="1">
      <c r="A13" s="24" t="str">
        <f t="shared" si="1"/>
        <v/>
      </c>
      <c r="B13" s="59">
        <f t="shared" si="2"/>
        <v>10</v>
      </c>
      <c r="C13" s="59" t="s">
        <v>241</v>
      </c>
      <c r="D13" s="59" t="s">
        <v>26</v>
      </c>
      <c r="E13" s="60">
        <f t="shared" si="3"/>
        <v>36</v>
      </c>
      <c r="F13" s="61">
        <v>22.0</v>
      </c>
      <c r="G13" s="63"/>
      <c r="H13" s="61"/>
      <c r="I13" s="63"/>
      <c r="J13" s="61">
        <v>14.0</v>
      </c>
      <c r="K13" s="78"/>
    </row>
    <row r="14" ht="12.75" customHeight="1">
      <c r="A14" s="24" t="str">
        <f t="shared" si="1"/>
        <v/>
      </c>
      <c r="B14" s="59">
        <f t="shared" si="2"/>
        <v>11</v>
      </c>
      <c r="C14" s="59" t="s">
        <v>298</v>
      </c>
      <c r="D14" s="59" t="s">
        <v>45</v>
      </c>
      <c r="E14" s="60">
        <f t="shared" si="3"/>
        <v>32</v>
      </c>
      <c r="F14" s="63"/>
      <c r="G14" s="63"/>
      <c r="H14" s="61">
        <v>32.0</v>
      </c>
      <c r="I14" s="63"/>
      <c r="J14" s="63"/>
      <c r="K14" s="78"/>
    </row>
    <row r="15" ht="12.75" customHeight="1">
      <c r="A15" s="24" t="str">
        <f t="shared" si="1"/>
        <v>T</v>
      </c>
      <c r="B15" s="59">
        <f t="shared" si="2"/>
        <v>11</v>
      </c>
      <c r="C15" s="59" t="s">
        <v>299</v>
      </c>
      <c r="D15" s="59" t="s">
        <v>32</v>
      </c>
      <c r="E15" s="60">
        <f t="shared" si="3"/>
        <v>32</v>
      </c>
      <c r="F15" s="61">
        <v>32.0</v>
      </c>
      <c r="G15" s="63"/>
      <c r="H15" s="63"/>
      <c r="I15" s="61"/>
      <c r="J15" s="63"/>
      <c r="K15" s="78"/>
    </row>
    <row r="16" ht="12.75" customHeight="1">
      <c r="A16" s="24" t="str">
        <f t="shared" si="1"/>
        <v>T</v>
      </c>
      <c r="B16" s="59">
        <f t="shared" si="2"/>
        <v>11</v>
      </c>
      <c r="C16" s="59" t="s">
        <v>300</v>
      </c>
      <c r="D16" s="59" t="s">
        <v>36</v>
      </c>
      <c r="E16" s="60">
        <f t="shared" si="3"/>
        <v>32</v>
      </c>
      <c r="F16" s="63"/>
      <c r="G16" s="63"/>
      <c r="H16" s="61"/>
      <c r="I16" s="63"/>
      <c r="J16" s="61">
        <v>32.0</v>
      </c>
      <c r="K16" s="78"/>
    </row>
    <row r="17" ht="12.75" customHeight="1">
      <c r="A17" s="24" t="str">
        <f t="shared" si="1"/>
        <v>T</v>
      </c>
      <c r="B17" s="59">
        <f t="shared" si="2"/>
        <v>11</v>
      </c>
      <c r="C17" s="59" t="s">
        <v>301</v>
      </c>
      <c r="D17" s="59" t="s">
        <v>57</v>
      </c>
      <c r="E17" s="60">
        <f t="shared" si="3"/>
        <v>32</v>
      </c>
      <c r="F17" s="63"/>
      <c r="G17" s="63"/>
      <c r="H17" s="61"/>
      <c r="I17" s="63"/>
      <c r="J17" s="61">
        <v>32.0</v>
      </c>
      <c r="K17" s="78"/>
    </row>
    <row r="18" ht="12.75" customHeight="1">
      <c r="A18" s="24" t="str">
        <f t="shared" si="1"/>
        <v>T</v>
      </c>
      <c r="B18" s="59">
        <f t="shared" si="2"/>
        <v>11</v>
      </c>
      <c r="C18" s="59" t="s">
        <v>302</v>
      </c>
      <c r="D18" s="59" t="s">
        <v>26</v>
      </c>
      <c r="E18" s="60">
        <f t="shared" si="3"/>
        <v>32</v>
      </c>
      <c r="F18" s="61">
        <v>32.0</v>
      </c>
      <c r="G18" s="63"/>
      <c r="H18" s="63"/>
      <c r="I18" s="63"/>
      <c r="J18" s="63"/>
      <c r="K18" s="78"/>
    </row>
    <row r="19" ht="12.75" customHeight="1">
      <c r="A19" s="24" t="str">
        <f t="shared" si="1"/>
        <v/>
      </c>
      <c r="B19" s="59">
        <f t="shared" si="2"/>
        <v>16</v>
      </c>
      <c r="C19" s="59" t="s">
        <v>303</v>
      </c>
      <c r="D19" s="59" t="s">
        <v>153</v>
      </c>
      <c r="E19" s="60">
        <f t="shared" si="3"/>
        <v>28</v>
      </c>
      <c r="F19" s="62"/>
      <c r="G19" s="61">
        <v>14.0</v>
      </c>
      <c r="H19" s="63"/>
      <c r="I19" s="63"/>
      <c r="J19" s="63"/>
      <c r="K19" s="61">
        <v>14.0</v>
      </c>
    </row>
    <row r="20" ht="12.75" customHeight="1">
      <c r="A20" s="24" t="str">
        <f t="shared" si="1"/>
        <v>T</v>
      </c>
      <c r="B20" s="59">
        <f t="shared" si="2"/>
        <v>16</v>
      </c>
      <c r="C20" s="59" t="s">
        <v>304</v>
      </c>
      <c r="D20" s="59" t="s">
        <v>32</v>
      </c>
      <c r="E20" s="60">
        <f t="shared" si="3"/>
        <v>28</v>
      </c>
      <c r="F20" s="63"/>
      <c r="G20" s="61">
        <v>14.0</v>
      </c>
      <c r="H20" s="63"/>
      <c r="I20" s="63"/>
      <c r="J20" s="63"/>
      <c r="K20" s="61">
        <v>14.0</v>
      </c>
    </row>
    <row r="21" ht="12.75" customHeight="1">
      <c r="A21" s="24" t="str">
        <f t="shared" si="1"/>
        <v>T</v>
      </c>
      <c r="B21" s="59">
        <f t="shared" si="2"/>
        <v>16</v>
      </c>
      <c r="C21" s="59" t="s">
        <v>305</v>
      </c>
      <c r="D21" s="59" t="s">
        <v>306</v>
      </c>
      <c r="E21" s="60">
        <f t="shared" si="3"/>
        <v>28</v>
      </c>
      <c r="F21" s="62"/>
      <c r="G21" s="62"/>
      <c r="H21" s="62"/>
      <c r="I21" s="64">
        <v>14.0</v>
      </c>
      <c r="J21" s="61">
        <v>14.0</v>
      </c>
      <c r="K21" s="78"/>
    </row>
    <row r="22" ht="12.75" customHeight="1">
      <c r="A22" s="24" t="str">
        <f t="shared" si="1"/>
        <v/>
      </c>
      <c r="B22" s="59">
        <f t="shared" si="2"/>
        <v>19</v>
      </c>
      <c r="C22" s="59" t="s">
        <v>307</v>
      </c>
      <c r="D22" s="59" t="s">
        <v>63</v>
      </c>
      <c r="E22" s="60">
        <f t="shared" si="3"/>
        <v>23</v>
      </c>
      <c r="F22" s="63"/>
      <c r="G22" s="61">
        <v>23.0</v>
      </c>
      <c r="H22" s="63"/>
      <c r="I22" s="63"/>
      <c r="J22" s="61"/>
      <c r="K22" s="78"/>
    </row>
    <row r="23" ht="12.75" customHeight="1">
      <c r="A23" s="24" t="str">
        <f t="shared" si="1"/>
        <v>T</v>
      </c>
      <c r="B23" s="59">
        <f t="shared" si="2"/>
        <v>19</v>
      </c>
      <c r="C23" s="59" t="s">
        <v>308</v>
      </c>
      <c r="D23" s="59" t="s">
        <v>63</v>
      </c>
      <c r="E23" s="60">
        <f t="shared" si="3"/>
        <v>23</v>
      </c>
      <c r="F23" s="63"/>
      <c r="G23" s="61">
        <v>23.0</v>
      </c>
      <c r="H23" s="63"/>
      <c r="I23" s="63"/>
      <c r="J23" s="63"/>
      <c r="K23" s="78"/>
    </row>
    <row r="24" ht="12.75" customHeight="1">
      <c r="A24" s="24" t="str">
        <f t="shared" si="1"/>
        <v/>
      </c>
      <c r="B24" s="59">
        <f t="shared" si="2"/>
        <v>21</v>
      </c>
      <c r="C24" s="59" t="s">
        <v>309</v>
      </c>
      <c r="D24" s="59" t="s">
        <v>102</v>
      </c>
      <c r="E24" s="60">
        <f t="shared" si="3"/>
        <v>22</v>
      </c>
      <c r="F24" s="61">
        <v>22.0</v>
      </c>
      <c r="G24" s="63"/>
      <c r="H24" s="61"/>
      <c r="I24" s="63"/>
      <c r="J24" s="63"/>
      <c r="K24" s="78"/>
    </row>
    <row r="25" ht="12.75" customHeight="1">
      <c r="A25" s="24" t="str">
        <f t="shared" si="1"/>
        <v>T</v>
      </c>
      <c r="B25" s="59">
        <f t="shared" si="2"/>
        <v>21</v>
      </c>
      <c r="C25" s="79" t="s">
        <v>173</v>
      </c>
      <c r="D25" s="79" t="s">
        <v>80</v>
      </c>
      <c r="E25" s="60">
        <f t="shared" si="3"/>
        <v>22</v>
      </c>
      <c r="F25" s="63"/>
      <c r="G25" s="63"/>
      <c r="H25" s="63"/>
      <c r="I25" s="63"/>
      <c r="J25" s="61"/>
      <c r="K25" s="64">
        <v>22.0</v>
      </c>
    </row>
    <row r="26" ht="12.75" customHeight="1">
      <c r="A26" s="24" t="str">
        <f t="shared" si="1"/>
        <v>T</v>
      </c>
      <c r="B26" s="59">
        <f t="shared" si="2"/>
        <v>21</v>
      </c>
      <c r="C26" s="79" t="s">
        <v>121</v>
      </c>
      <c r="D26" s="79" t="s">
        <v>63</v>
      </c>
      <c r="E26" s="60">
        <f t="shared" si="3"/>
        <v>22</v>
      </c>
      <c r="F26" s="63"/>
      <c r="G26" s="63"/>
      <c r="H26" s="63"/>
      <c r="I26" s="63"/>
      <c r="J26" s="61"/>
      <c r="K26" s="64">
        <v>22.0</v>
      </c>
    </row>
    <row r="27" ht="12.75" customHeight="1">
      <c r="A27" s="24" t="str">
        <f t="shared" si="1"/>
        <v/>
      </c>
      <c r="B27" s="59">
        <f t="shared" si="2"/>
        <v>24</v>
      </c>
      <c r="C27" s="59" t="s">
        <v>310</v>
      </c>
      <c r="D27" s="59" t="s">
        <v>296</v>
      </c>
      <c r="E27" s="60">
        <f t="shared" si="3"/>
        <v>14</v>
      </c>
      <c r="F27" s="62"/>
      <c r="G27" s="63"/>
      <c r="H27" s="63"/>
      <c r="I27" s="61"/>
      <c r="J27" s="63"/>
      <c r="K27" s="61">
        <v>14.0</v>
      </c>
    </row>
    <row r="28" ht="12.75" customHeight="1">
      <c r="A28" s="24" t="str">
        <f t="shared" si="1"/>
        <v>T</v>
      </c>
      <c r="B28" s="59">
        <f t="shared" si="2"/>
        <v>24</v>
      </c>
      <c r="C28" s="59" t="s">
        <v>311</v>
      </c>
      <c r="D28" s="59" t="s">
        <v>63</v>
      </c>
      <c r="E28" s="60">
        <f t="shared" si="3"/>
        <v>14</v>
      </c>
      <c r="F28" s="63"/>
      <c r="G28" s="63"/>
      <c r="H28" s="63"/>
      <c r="I28" s="61"/>
      <c r="J28" s="63"/>
      <c r="K28" s="61">
        <v>14.0</v>
      </c>
    </row>
    <row r="29" ht="12.75" customHeight="1">
      <c r="A29" s="24" t="str">
        <f t="shared" si="1"/>
        <v>T</v>
      </c>
      <c r="B29" s="59">
        <f t="shared" si="2"/>
        <v>24</v>
      </c>
      <c r="C29" s="59" t="s">
        <v>312</v>
      </c>
      <c r="D29" s="59" t="s">
        <v>45</v>
      </c>
      <c r="E29" s="60">
        <f t="shared" si="3"/>
        <v>14</v>
      </c>
      <c r="F29" s="61">
        <v>14.0</v>
      </c>
      <c r="G29" s="63"/>
      <c r="H29" s="63"/>
      <c r="I29" s="63"/>
      <c r="J29" s="61"/>
      <c r="K29" s="78"/>
    </row>
    <row r="30" ht="12.75" customHeight="1">
      <c r="A30" s="24" t="str">
        <f t="shared" si="1"/>
        <v>T</v>
      </c>
      <c r="B30" s="59">
        <f t="shared" si="2"/>
        <v>24</v>
      </c>
      <c r="C30" s="59" t="s">
        <v>313</v>
      </c>
      <c r="D30" s="59" t="s">
        <v>82</v>
      </c>
      <c r="E30" s="60">
        <f t="shared" si="3"/>
        <v>14</v>
      </c>
      <c r="F30" s="63"/>
      <c r="G30" s="63"/>
      <c r="H30" s="61">
        <v>14.0</v>
      </c>
      <c r="I30" s="63"/>
      <c r="J30" s="63"/>
      <c r="K30" s="78"/>
    </row>
    <row r="31" ht="12.75" customHeight="1">
      <c r="A31" s="24" t="str">
        <f t="shared" si="1"/>
        <v>T</v>
      </c>
      <c r="B31" s="59">
        <f t="shared" si="2"/>
        <v>24</v>
      </c>
      <c r="C31" s="59" t="s">
        <v>314</v>
      </c>
      <c r="D31" s="59" t="s">
        <v>36</v>
      </c>
      <c r="E31" s="60">
        <f t="shared" si="3"/>
        <v>14</v>
      </c>
      <c r="F31" s="63"/>
      <c r="G31" s="63"/>
      <c r="H31" s="61">
        <v>14.0</v>
      </c>
      <c r="I31" s="63"/>
      <c r="J31" s="63"/>
      <c r="K31" s="78"/>
    </row>
    <row r="32" ht="12.75" customHeight="1">
      <c r="A32" s="24" t="str">
        <f t="shared" si="1"/>
        <v>T</v>
      </c>
      <c r="B32" s="59">
        <f t="shared" si="2"/>
        <v>24</v>
      </c>
      <c r="C32" s="59" t="s">
        <v>315</v>
      </c>
      <c r="D32" s="59" t="s">
        <v>306</v>
      </c>
      <c r="E32" s="60">
        <f t="shared" si="3"/>
        <v>14</v>
      </c>
      <c r="F32" s="78"/>
      <c r="G32" s="78"/>
      <c r="H32" s="61"/>
      <c r="I32" s="64">
        <v>14.0</v>
      </c>
      <c r="J32" s="78"/>
      <c r="K32" s="78"/>
    </row>
    <row r="33" ht="12.75" customHeight="1">
      <c r="A33" s="24" t="str">
        <f t="shared" si="1"/>
        <v/>
      </c>
      <c r="B33" s="59">
        <f t="shared" si="2"/>
        <v>30</v>
      </c>
      <c r="C33" s="59" t="s">
        <v>316</v>
      </c>
      <c r="D33" s="59" t="s">
        <v>36</v>
      </c>
      <c r="E33" s="60">
        <f t="shared" si="3"/>
        <v>8</v>
      </c>
      <c r="F33" s="63"/>
      <c r="G33" s="63"/>
      <c r="H33" s="61">
        <v>8.0</v>
      </c>
      <c r="I33" s="63"/>
      <c r="J33" s="61"/>
      <c r="K33" s="78"/>
    </row>
    <row r="34" ht="12.75" customHeight="1">
      <c r="A34" s="24" t="str">
        <f t="shared" si="1"/>
        <v>T</v>
      </c>
      <c r="B34" s="59">
        <f t="shared" si="2"/>
        <v>30</v>
      </c>
      <c r="C34" s="59" t="s">
        <v>317</v>
      </c>
      <c r="D34" s="59" t="s">
        <v>318</v>
      </c>
      <c r="E34" s="60">
        <f t="shared" si="3"/>
        <v>8</v>
      </c>
      <c r="F34" s="63"/>
      <c r="G34" s="63"/>
      <c r="H34" s="61">
        <v>8.0</v>
      </c>
      <c r="I34" s="63"/>
      <c r="J34" s="63"/>
      <c r="K34" s="78"/>
    </row>
    <row r="35" ht="12.75" customHeight="1">
      <c r="A35" s="24" t="str">
        <f t="shared" si="1"/>
        <v>T</v>
      </c>
      <c r="B35" s="59">
        <f t="shared" si="2"/>
        <v>30</v>
      </c>
      <c r="C35" s="59" t="s">
        <v>319</v>
      </c>
      <c r="D35" s="59" t="s">
        <v>176</v>
      </c>
      <c r="E35" s="60">
        <f t="shared" si="3"/>
        <v>8</v>
      </c>
      <c r="F35" s="62"/>
      <c r="G35" s="63"/>
      <c r="H35" s="61">
        <v>8.0</v>
      </c>
      <c r="I35" s="63"/>
      <c r="J35" s="63"/>
      <c r="K35" s="78"/>
    </row>
    <row r="36" ht="12.75" customHeight="1">
      <c r="A36" s="24" t="str">
        <f t="shared" si="1"/>
        <v>T</v>
      </c>
      <c r="B36" s="59">
        <f t="shared" si="2"/>
        <v>30</v>
      </c>
      <c r="C36" s="59" t="s">
        <v>320</v>
      </c>
      <c r="D36" s="59" t="s">
        <v>36</v>
      </c>
      <c r="E36" s="60">
        <f t="shared" si="3"/>
        <v>8</v>
      </c>
      <c r="F36" s="78"/>
      <c r="G36" s="78"/>
      <c r="H36" s="61">
        <v>8.0</v>
      </c>
      <c r="I36" s="78"/>
      <c r="J36" s="78"/>
      <c r="K36" s="78"/>
    </row>
    <row r="37" ht="12.75" customHeight="1">
      <c r="A37" s="24" t="str">
        <f t="shared" si="1"/>
        <v>T</v>
      </c>
      <c r="B37" s="59">
        <f t="shared" si="2"/>
        <v>30</v>
      </c>
      <c r="C37" s="12" t="s">
        <v>190</v>
      </c>
      <c r="D37" s="16" t="s">
        <v>191</v>
      </c>
      <c r="E37" s="60">
        <f t="shared" si="3"/>
        <v>8</v>
      </c>
      <c r="F37" s="63"/>
      <c r="G37" s="63"/>
      <c r="H37" s="63"/>
      <c r="I37" s="63"/>
      <c r="J37" s="64">
        <v>8.0</v>
      </c>
      <c r="K37" s="78"/>
    </row>
    <row r="38" ht="12.75" customHeight="1">
      <c r="A38" s="24" t="str">
        <f t="shared" si="1"/>
        <v>T</v>
      </c>
      <c r="B38" s="59">
        <f t="shared" si="2"/>
        <v>30</v>
      </c>
      <c r="C38" s="59" t="s">
        <v>321</v>
      </c>
      <c r="D38" s="16" t="s">
        <v>191</v>
      </c>
      <c r="E38" s="60">
        <f t="shared" si="3"/>
        <v>8</v>
      </c>
      <c r="F38" s="63"/>
      <c r="G38" s="63"/>
      <c r="H38" s="63"/>
      <c r="I38" s="63"/>
      <c r="J38" s="64">
        <v>8.0</v>
      </c>
      <c r="K38" s="78"/>
    </row>
    <row r="39" ht="12.75" customHeight="1">
      <c r="A39" s="24"/>
      <c r="B39" s="59"/>
      <c r="C39" s="59"/>
      <c r="D39" s="16"/>
      <c r="E39" s="60"/>
      <c r="F39" s="63"/>
      <c r="G39" s="63"/>
      <c r="H39" s="63"/>
      <c r="I39" s="63"/>
      <c r="J39" s="63"/>
      <c r="K39" s="78"/>
    </row>
    <row r="40" ht="12.75" customHeight="1">
      <c r="A40" s="24"/>
      <c r="B40" s="59"/>
      <c r="C40" s="59"/>
      <c r="D40" s="59"/>
      <c r="E40" s="60"/>
      <c r="F40" s="63"/>
      <c r="G40" s="63"/>
      <c r="H40" s="63"/>
      <c r="I40" s="63"/>
      <c r="J40" s="63"/>
      <c r="K40" s="78"/>
    </row>
    <row r="41" ht="12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47"/>
    </row>
    <row r="42" ht="12.75" customHeight="1"/>
    <row r="43" ht="12.75" customHeight="1">
      <c r="A43" s="80"/>
      <c r="B43" s="35"/>
      <c r="C43" s="81" t="s">
        <v>282</v>
      </c>
    </row>
    <row r="44" ht="12.75" customHeight="1">
      <c r="A44" s="71"/>
      <c r="B44" s="35"/>
      <c r="C44" s="81" t="s">
        <v>283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7">
    <mergeCell ref="B1:I1"/>
    <mergeCell ref="A2:A3"/>
    <mergeCell ref="F2:K2"/>
    <mergeCell ref="A43:B43"/>
    <mergeCell ref="C43:K43"/>
    <mergeCell ref="A44:B44"/>
    <mergeCell ref="C44:K44"/>
  </mergeCells>
  <printOptions/>
  <pageMargins bottom="0.75" footer="0.0" header="0.0" left="0.7" right="0.7" top="0.75"/>
  <pageSetup paperSize="9" orientation="portrait"/>
  <colBreaks count="2" manualBreakCount="2">
    <brk man="1"/>
    <brk id="11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4.75"/>
    <col customWidth="1" min="3" max="3" width="12.38"/>
    <col customWidth="1" min="4" max="4" width="14.88"/>
    <col customWidth="1" min="5" max="5" width="5.5"/>
    <col customWidth="1" min="6" max="9" width="7.13"/>
    <col customWidth="1" min="10" max="16" width="8.0"/>
  </cols>
  <sheetData>
    <row r="1" ht="16.5" customHeight="1">
      <c r="B1" s="26" t="s">
        <v>322</v>
      </c>
    </row>
    <row r="2" ht="12.75" customHeight="1">
      <c r="A2" s="27"/>
      <c r="B2" s="28"/>
      <c r="C2" s="5"/>
      <c r="D2" s="5"/>
      <c r="E2" s="5"/>
      <c r="F2" s="82"/>
      <c r="G2" s="82" t="s">
        <v>141</v>
      </c>
      <c r="H2" s="82"/>
      <c r="I2" s="11"/>
    </row>
    <row r="3" ht="12.75" customHeight="1">
      <c r="A3" s="30" t="s">
        <v>1</v>
      </c>
      <c r="B3" s="31"/>
      <c r="C3" s="43" t="s">
        <v>2</v>
      </c>
      <c r="D3" s="43" t="s">
        <v>3</v>
      </c>
      <c r="E3" s="43" t="s">
        <v>4</v>
      </c>
      <c r="F3" s="29" t="s">
        <v>230</v>
      </c>
      <c r="G3" s="29" t="s">
        <v>13</v>
      </c>
      <c r="H3" s="29" t="s">
        <v>17</v>
      </c>
      <c r="I3" s="29"/>
    </row>
    <row r="4" ht="12.75" customHeight="1">
      <c r="A4" s="10" t="str">
        <f t="shared" ref="A4:A12" si="1">IF(B4=B3,"T","")</f>
        <v/>
      </c>
      <c r="B4" s="11">
        <f t="shared" ref="B4:B20" si="2">RANK(E4,$E$4:$E$30,0)</f>
        <v>1</v>
      </c>
      <c r="C4" s="12" t="s">
        <v>112</v>
      </c>
      <c r="D4" s="12" t="s">
        <v>63</v>
      </c>
      <c r="E4" s="12">
        <f t="shared" ref="E4:E20" si="3">SUM(F4:I4)</f>
        <v>68</v>
      </c>
      <c r="F4" s="14">
        <v>22.0</v>
      </c>
      <c r="G4" s="14">
        <v>14.0</v>
      </c>
      <c r="H4" s="14">
        <v>32.0</v>
      </c>
      <c r="I4" s="12"/>
    </row>
    <row r="5" ht="12.75" customHeight="1">
      <c r="A5" s="10" t="str">
        <f t="shared" si="1"/>
        <v/>
      </c>
      <c r="B5" s="11">
        <f t="shared" si="2"/>
        <v>2</v>
      </c>
      <c r="C5" s="12" t="s">
        <v>183</v>
      </c>
      <c r="D5" s="12" t="s">
        <v>45</v>
      </c>
      <c r="E5" s="12">
        <f t="shared" si="3"/>
        <v>54</v>
      </c>
      <c r="F5" s="14">
        <v>32.0</v>
      </c>
      <c r="G5" s="13"/>
      <c r="H5" s="14">
        <v>22.0</v>
      </c>
      <c r="I5" s="12"/>
    </row>
    <row r="6" ht="12.75" customHeight="1">
      <c r="A6" s="10" t="str">
        <f t="shared" si="1"/>
        <v>T</v>
      </c>
      <c r="B6" s="11">
        <f t="shared" si="2"/>
        <v>2</v>
      </c>
      <c r="C6" s="12" t="s">
        <v>323</v>
      </c>
      <c r="D6" s="12" t="s">
        <v>296</v>
      </c>
      <c r="E6" s="12">
        <f t="shared" si="3"/>
        <v>54</v>
      </c>
      <c r="F6" s="14">
        <v>32.0</v>
      </c>
      <c r="G6" s="13"/>
      <c r="H6" s="14">
        <v>22.0</v>
      </c>
      <c r="I6" s="12"/>
    </row>
    <row r="7" ht="12.75" customHeight="1">
      <c r="A7" s="10" t="str">
        <f t="shared" si="1"/>
        <v>T</v>
      </c>
      <c r="B7" s="11">
        <f t="shared" si="2"/>
        <v>2</v>
      </c>
      <c r="C7" s="16" t="s">
        <v>121</v>
      </c>
      <c r="D7" s="12" t="s">
        <v>63</v>
      </c>
      <c r="E7" s="12">
        <f t="shared" si="3"/>
        <v>54</v>
      </c>
      <c r="F7" s="83">
        <v>22.0</v>
      </c>
      <c r="G7" s="14">
        <v>32.0</v>
      </c>
      <c r="H7" s="13"/>
      <c r="I7" s="12"/>
    </row>
    <row r="8" ht="12.75" customHeight="1">
      <c r="A8" s="10" t="str">
        <f t="shared" si="1"/>
        <v/>
      </c>
      <c r="B8" s="11">
        <f t="shared" si="2"/>
        <v>5</v>
      </c>
      <c r="C8" s="16" t="s">
        <v>173</v>
      </c>
      <c r="D8" s="16" t="s">
        <v>80</v>
      </c>
      <c r="E8" s="12">
        <f t="shared" si="3"/>
        <v>32</v>
      </c>
      <c r="F8" s="13"/>
      <c r="G8" s="14">
        <v>32.0</v>
      </c>
      <c r="H8" s="13"/>
      <c r="I8" s="12"/>
    </row>
    <row r="9" ht="12.75" customHeight="1">
      <c r="A9" s="10" t="str">
        <f t="shared" si="1"/>
        <v>T</v>
      </c>
      <c r="B9" s="11">
        <f t="shared" si="2"/>
        <v>5</v>
      </c>
      <c r="C9" s="12" t="s">
        <v>172</v>
      </c>
      <c r="D9" s="12" t="s">
        <v>63</v>
      </c>
      <c r="E9" s="12">
        <f t="shared" si="3"/>
        <v>32</v>
      </c>
      <c r="F9" s="13"/>
      <c r="G9" s="13"/>
      <c r="H9" s="14">
        <v>32.0</v>
      </c>
      <c r="I9" s="12"/>
    </row>
    <row r="10" ht="12.75" customHeight="1">
      <c r="A10" s="10" t="str">
        <f t="shared" si="1"/>
        <v/>
      </c>
      <c r="B10" s="11">
        <f t="shared" si="2"/>
        <v>7</v>
      </c>
      <c r="C10" s="12" t="s">
        <v>89</v>
      </c>
      <c r="D10" s="12" t="s">
        <v>63</v>
      </c>
      <c r="E10" s="12">
        <f t="shared" si="3"/>
        <v>30</v>
      </c>
      <c r="F10" s="13"/>
      <c r="G10" s="14">
        <v>22.0</v>
      </c>
      <c r="H10" s="14">
        <v>8.0</v>
      </c>
      <c r="I10" s="12"/>
    </row>
    <row r="11" ht="12.75" customHeight="1">
      <c r="A11" s="10" t="str">
        <f t="shared" si="1"/>
        <v>T</v>
      </c>
      <c r="B11" s="11">
        <f t="shared" si="2"/>
        <v>7</v>
      </c>
      <c r="C11" s="12" t="s">
        <v>190</v>
      </c>
      <c r="D11" s="12" t="s">
        <v>111</v>
      </c>
      <c r="E11" s="12">
        <f t="shared" si="3"/>
        <v>30</v>
      </c>
      <c r="F11" s="13"/>
      <c r="G11" s="14">
        <v>22.0</v>
      </c>
      <c r="H11" s="14">
        <v>8.0</v>
      </c>
      <c r="I11" s="12"/>
    </row>
    <row r="12" ht="12.75" customHeight="1">
      <c r="A12" s="10" t="str">
        <f t="shared" si="1"/>
        <v/>
      </c>
      <c r="B12" s="11">
        <f t="shared" si="2"/>
        <v>9</v>
      </c>
      <c r="C12" s="12" t="s">
        <v>324</v>
      </c>
      <c r="D12" s="12" t="s">
        <v>126</v>
      </c>
      <c r="E12" s="12">
        <f t="shared" si="3"/>
        <v>28</v>
      </c>
      <c r="F12" s="13"/>
      <c r="G12" s="14">
        <v>14.0</v>
      </c>
      <c r="H12" s="14">
        <v>14.0</v>
      </c>
      <c r="I12" s="12"/>
    </row>
    <row r="13" ht="12.75" customHeight="1">
      <c r="A13" s="10"/>
      <c r="B13" s="11">
        <f t="shared" si="2"/>
        <v>9</v>
      </c>
      <c r="C13" s="16" t="s">
        <v>325</v>
      </c>
      <c r="D13" s="16" t="s">
        <v>80</v>
      </c>
      <c r="E13" s="12">
        <f t="shared" si="3"/>
        <v>28</v>
      </c>
      <c r="F13" s="13"/>
      <c r="G13" s="14">
        <v>14.0</v>
      </c>
      <c r="H13" s="14">
        <v>14.0</v>
      </c>
      <c r="I13" s="12"/>
    </row>
    <row r="14" ht="12.75" customHeight="1">
      <c r="A14" s="10" t="str">
        <f t="shared" ref="A14:A15" si="4">IF(B14=B12,"T","")</f>
        <v/>
      </c>
      <c r="B14" s="11">
        <f t="shared" si="2"/>
        <v>11</v>
      </c>
      <c r="C14" s="16" t="s">
        <v>326</v>
      </c>
      <c r="D14" s="12" t="s">
        <v>327</v>
      </c>
      <c r="E14" s="12">
        <f t="shared" si="3"/>
        <v>14</v>
      </c>
      <c r="F14" s="14">
        <v>14.0</v>
      </c>
      <c r="G14" s="13"/>
      <c r="H14" s="13"/>
      <c r="I14" s="12"/>
    </row>
    <row r="15" ht="12.75" customHeight="1">
      <c r="A15" s="10" t="str">
        <f t="shared" si="4"/>
        <v/>
      </c>
      <c r="B15" s="11">
        <f t="shared" si="2"/>
        <v>11</v>
      </c>
      <c r="C15" s="16" t="s">
        <v>328</v>
      </c>
      <c r="D15" s="12" t="s">
        <v>327</v>
      </c>
      <c r="E15" s="12">
        <f t="shared" si="3"/>
        <v>14</v>
      </c>
      <c r="F15" s="14">
        <v>14.0</v>
      </c>
      <c r="G15" s="13"/>
      <c r="H15" s="13"/>
      <c r="I15" s="12"/>
    </row>
    <row r="16" ht="12.75" customHeight="1">
      <c r="A16" s="10" t="str">
        <f t="shared" ref="A16:A20" si="5">IF(B16=B15,"T","")</f>
        <v>T</v>
      </c>
      <c r="B16" s="11">
        <f t="shared" si="2"/>
        <v>11</v>
      </c>
      <c r="C16" s="16" t="s">
        <v>329</v>
      </c>
      <c r="D16" s="16" t="s">
        <v>45</v>
      </c>
      <c r="E16" s="12">
        <f t="shared" si="3"/>
        <v>14</v>
      </c>
      <c r="F16" s="83">
        <v>14.0</v>
      </c>
      <c r="G16" s="13"/>
      <c r="H16" s="13"/>
      <c r="I16" s="12"/>
    </row>
    <row r="17" ht="12.75" customHeight="1">
      <c r="A17" s="10" t="str">
        <f t="shared" si="5"/>
        <v>T</v>
      </c>
      <c r="B17" s="11">
        <f t="shared" si="2"/>
        <v>11</v>
      </c>
      <c r="C17" s="16" t="s">
        <v>330</v>
      </c>
      <c r="D17" s="16" t="s">
        <v>45</v>
      </c>
      <c r="E17" s="12">
        <f t="shared" si="3"/>
        <v>14</v>
      </c>
      <c r="F17" s="83">
        <v>14.0</v>
      </c>
      <c r="G17" s="13"/>
      <c r="H17" s="13"/>
      <c r="I17" s="12"/>
    </row>
    <row r="18" ht="12.75" customHeight="1">
      <c r="A18" s="10" t="str">
        <f t="shared" si="5"/>
        <v>T</v>
      </c>
      <c r="B18" s="11">
        <f t="shared" si="2"/>
        <v>11</v>
      </c>
      <c r="C18" s="12" t="s">
        <v>212</v>
      </c>
      <c r="D18" s="12" t="s">
        <v>331</v>
      </c>
      <c r="E18" s="12">
        <f t="shared" si="3"/>
        <v>14</v>
      </c>
      <c r="F18" s="13"/>
      <c r="G18" s="14">
        <v>14.0</v>
      </c>
      <c r="H18" s="13"/>
      <c r="I18" s="12"/>
    </row>
    <row r="19" ht="12.75" customHeight="1">
      <c r="A19" s="10" t="str">
        <f t="shared" si="5"/>
        <v/>
      </c>
      <c r="B19" s="11">
        <f t="shared" si="2"/>
        <v>16</v>
      </c>
      <c r="C19" s="16" t="s">
        <v>201</v>
      </c>
      <c r="D19" s="16" t="s">
        <v>332</v>
      </c>
      <c r="E19" s="12">
        <f t="shared" si="3"/>
        <v>8</v>
      </c>
      <c r="F19" s="13"/>
      <c r="G19" s="13"/>
      <c r="H19" s="14">
        <v>8.0</v>
      </c>
      <c r="I19" s="12"/>
    </row>
    <row r="20" ht="12.75" customHeight="1">
      <c r="A20" s="10" t="str">
        <f t="shared" si="5"/>
        <v>T</v>
      </c>
      <c r="B20" s="11">
        <f t="shared" si="2"/>
        <v>16</v>
      </c>
      <c r="C20" s="16" t="s">
        <v>333</v>
      </c>
      <c r="D20" s="12" t="s">
        <v>63</v>
      </c>
      <c r="E20" s="12">
        <f t="shared" si="3"/>
        <v>8</v>
      </c>
      <c r="F20" s="13"/>
      <c r="G20" s="13"/>
      <c r="H20" s="14">
        <v>8.0</v>
      </c>
      <c r="I20" s="12"/>
    </row>
    <row r="21" ht="12.75" customHeight="1">
      <c r="A21" s="10"/>
      <c r="B21" s="11"/>
      <c r="C21" s="12"/>
      <c r="D21" s="12"/>
      <c r="E21" s="12"/>
      <c r="F21" s="13"/>
      <c r="G21" s="13"/>
      <c r="H21" s="13"/>
      <c r="I21" s="12"/>
    </row>
    <row r="22" ht="12.75" customHeight="1">
      <c r="A22" s="10"/>
      <c r="B22" s="11"/>
      <c r="C22" s="12"/>
      <c r="D22" s="12"/>
      <c r="E22" s="12"/>
      <c r="F22" s="13"/>
      <c r="G22" s="13"/>
      <c r="H22" s="13"/>
      <c r="I22" s="12"/>
    </row>
    <row r="23" ht="12.75" customHeight="1">
      <c r="A23" s="10"/>
      <c r="B23" s="11"/>
      <c r="C23" s="12"/>
      <c r="D23" s="12"/>
      <c r="E23" s="12"/>
      <c r="F23" s="13"/>
      <c r="G23" s="13"/>
      <c r="H23" s="13"/>
      <c r="I23" s="12"/>
    </row>
    <row r="24" ht="12.75" customHeight="1">
      <c r="A24" s="10"/>
      <c r="B24" s="11"/>
      <c r="C24" s="12"/>
      <c r="D24" s="12"/>
      <c r="E24" s="12"/>
      <c r="F24" s="13"/>
      <c r="G24" s="13"/>
      <c r="H24" s="13"/>
      <c r="I24" s="12"/>
    </row>
    <row r="25" ht="12.75" customHeight="1">
      <c r="A25" s="10"/>
      <c r="B25" s="11"/>
      <c r="C25" s="12"/>
      <c r="D25" s="12"/>
      <c r="E25" s="12"/>
      <c r="F25" s="13"/>
      <c r="G25" s="13"/>
      <c r="H25" s="13"/>
      <c r="I25" s="12"/>
    </row>
    <row r="26" ht="12.75" customHeight="1">
      <c r="A26" s="10"/>
      <c r="B26" s="11"/>
      <c r="C26" s="12"/>
      <c r="D26" s="12"/>
      <c r="E26" s="12"/>
      <c r="F26" s="13"/>
      <c r="G26" s="13"/>
      <c r="H26" s="13"/>
      <c r="I26" s="12"/>
    </row>
    <row r="27" ht="12.75" customHeight="1">
      <c r="A27" s="10"/>
      <c r="B27" s="11"/>
      <c r="C27" s="16"/>
      <c r="D27" s="12"/>
      <c r="E27" s="12"/>
      <c r="F27" s="13"/>
      <c r="G27" s="13"/>
      <c r="H27" s="13"/>
      <c r="I27" s="12"/>
    </row>
    <row r="28" ht="12.75" customHeight="1">
      <c r="A28" s="10"/>
      <c r="B28" s="11"/>
      <c r="C28" s="12"/>
      <c r="D28" s="12"/>
      <c r="E28" s="12"/>
      <c r="F28" s="84"/>
      <c r="G28" s="84"/>
      <c r="H28" s="12"/>
      <c r="I28" s="12"/>
    </row>
    <row r="29" ht="12.75" customHeight="1">
      <c r="A29" s="10"/>
      <c r="B29" s="11"/>
      <c r="C29" s="12"/>
      <c r="D29" s="12"/>
      <c r="E29" s="84"/>
      <c r="F29" s="84"/>
      <c r="G29" s="84"/>
      <c r="H29" s="12"/>
      <c r="I29" s="12"/>
    </row>
    <row r="30" ht="12.75" customHeight="1">
      <c r="A30" s="10"/>
      <c r="B30" s="11"/>
      <c r="C30" s="12"/>
      <c r="D30" s="12"/>
      <c r="E30" s="84"/>
      <c r="F30" s="84"/>
      <c r="G30" s="84"/>
      <c r="H30" s="12"/>
      <c r="I30" s="12"/>
    </row>
    <row r="31" ht="12.75" customHeight="1"/>
    <row r="32" ht="12.75" customHeight="1"/>
    <row r="33" ht="12.75" customHeight="1"/>
    <row r="34" ht="12.75" customHeight="1">
      <c r="A34" s="19" t="s">
        <v>137</v>
      </c>
      <c r="B34" s="20"/>
      <c r="C34" s="21" t="s">
        <v>138</v>
      </c>
      <c r="D34" s="22"/>
      <c r="E34" s="22"/>
      <c r="F34" s="22"/>
      <c r="G34" s="22"/>
      <c r="H34" s="22"/>
      <c r="I34" s="23"/>
    </row>
    <row r="35" ht="12.75" customHeight="1">
      <c r="A35" s="19" t="s">
        <v>137</v>
      </c>
      <c r="B35" s="24"/>
      <c r="C35" s="25" t="s">
        <v>139</v>
      </c>
      <c r="D35" s="22"/>
      <c r="E35" s="22"/>
      <c r="F35" s="22"/>
      <c r="G35" s="22"/>
      <c r="H35" s="22"/>
      <c r="I35" s="23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3:B3"/>
    <mergeCell ref="C34:I34"/>
    <mergeCell ref="C35:I35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88"/>
    <col customWidth="1" min="3" max="3" width="12.38"/>
    <col customWidth="1" min="4" max="4" width="13.88"/>
    <col customWidth="1" min="5" max="5" width="5.5"/>
    <col customWidth="1" min="6" max="6" width="8.13"/>
    <col customWidth="1" min="7" max="10" width="10.13"/>
    <col customWidth="1" min="11" max="40" width="8.0"/>
  </cols>
  <sheetData>
    <row r="1" ht="16.5" customHeight="1">
      <c r="B1" s="26" t="s">
        <v>334</v>
      </c>
    </row>
    <row r="2" ht="12.75" customHeight="1">
      <c r="A2" s="27"/>
      <c r="B2" s="28"/>
      <c r="C2" s="5"/>
      <c r="D2" s="5"/>
      <c r="E2" s="5"/>
      <c r="F2" s="42" t="s">
        <v>141</v>
      </c>
      <c r="G2" s="34"/>
      <c r="H2" s="34"/>
      <c r="I2" s="85"/>
      <c r="J2" s="11"/>
    </row>
    <row r="3" ht="12.75" customHeight="1">
      <c r="A3" s="30" t="s">
        <v>1</v>
      </c>
      <c r="B3" s="31"/>
      <c r="C3" s="43" t="s">
        <v>2</v>
      </c>
      <c r="D3" s="43" t="s">
        <v>3</v>
      </c>
      <c r="E3" s="32" t="s">
        <v>4</v>
      </c>
      <c r="F3" s="44" t="s">
        <v>5</v>
      </c>
      <c r="G3" s="29" t="s">
        <v>12</v>
      </c>
      <c r="H3" s="29" t="s">
        <v>287</v>
      </c>
      <c r="I3" s="44" t="s">
        <v>13</v>
      </c>
      <c r="J3" s="29" t="s">
        <v>16</v>
      </c>
    </row>
    <row r="4" ht="12.75" customHeight="1">
      <c r="A4" s="10" t="str">
        <f t="shared" ref="A4:A31" si="1">IF(B4=B3,"T","")</f>
        <v/>
      </c>
      <c r="B4" s="37">
        <f t="shared" ref="B4:B31" si="2">RANK(E4,$E$4:$E$106,0)</f>
        <v>1</v>
      </c>
      <c r="C4" s="12" t="s">
        <v>199</v>
      </c>
      <c r="D4" s="86" t="s">
        <v>200</v>
      </c>
      <c r="E4" s="12">
        <f t="shared" ref="E4:E31" si="3">SUM(F4:J4)</f>
        <v>135</v>
      </c>
      <c r="F4" s="14">
        <v>18.0</v>
      </c>
      <c r="G4" s="14">
        <v>41.0</v>
      </c>
      <c r="H4" s="14">
        <v>22.0</v>
      </c>
      <c r="I4" s="14">
        <v>22.0</v>
      </c>
      <c r="J4" s="14">
        <v>32.0</v>
      </c>
    </row>
    <row r="5" ht="12.75" customHeight="1">
      <c r="A5" s="10" t="str">
        <f t="shared" si="1"/>
        <v/>
      </c>
      <c r="B5" s="37">
        <f t="shared" si="2"/>
        <v>2</v>
      </c>
      <c r="C5" s="16" t="s">
        <v>203</v>
      </c>
      <c r="D5" s="86" t="s">
        <v>204</v>
      </c>
      <c r="E5" s="12">
        <f t="shared" si="3"/>
        <v>121</v>
      </c>
      <c r="F5" s="13"/>
      <c r="G5" s="14">
        <v>63.0</v>
      </c>
      <c r="H5" s="14">
        <v>14.0</v>
      </c>
      <c r="I5" s="14">
        <v>22.0</v>
      </c>
      <c r="J5" s="14">
        <v>22.0</v>
      </c>
    </row>
    <row r="6" ht="12.75" customHeight="1">
      <c r="A6" s="10" t="str">
        <f t="shared" si="1"/>
        <v/>
      </c>
      <c r="B6" s="37">
        <f t="shared" si="2"/>
        <v>3</v>
      </c>
      <c r="C6" s="12" t="s">
        <v>211</v>
      </c>
      <c r="D6" s="86" t="s">
        <v>210</v>
      </c>
      <c r="E6" s="12">
        <f t="shared" si="3"/>
        <v>113</v>
      </c>
      <c r="F6" s="14">
        <v>18.0</v>
      </c>
      <c r="G6" s="14">
        <v>41.0</v>
      </c>
      <c r="H6" s="14">
        <v>22.0</v>
      </c>
      <c r="I6" s="14"/>
      <c r="J6" s="14">
        <v>32.0</v>
      </c>
    </row>
    <row r="7" ht="12.75" customHeight="1">
      <c r="A7" s="10" t="str">
        <f t="shared" si="1"/>
        <v/>
      </c>
      <c r="B7" s="37">
        <f t="shared" si="2"/>
        <v>4</v>
      </c>
      <c r="C7" s="12" t="s">
        <v>335</v>
      </c>
      <c r="D7" s="86" t="s">
        <v>215</v>
      </c>
      <c r="E7" s="12">
        <f t="shared" si="3"/>
        <v>99</v>
      </c>
      <c r="F7" s="13"/>
      <c r="G7" s="14">
        <v>63.0</v>
      </c>
      <c r="H7" s="14">
        <v>14.0</v>
      </c>
      <c r="I7" s="14"/>
      <c r="J7" s="14">
        <v>22.0</v>
      </c>
    </row>
    <row r="8" ht="12.75" customHeight="1">
      <c r="A8" s="10" t="str">
        <f t="shared" si="1"/>
        <v/>
      </c>
      <c r="B8" s="37">
        <f t="shared" si="2"/>
        <v>5</v>
      </c>
      <c r="C8" s="12" t="s">
        <v>336</v>
      </c>
      <c r="D8" s="86" t="s">
        <v>53</v>
      </c>
      <c r="E8" s="12">
        <f t="shared" si="3"/>
        <v>66</v>
      </c>
      <c r="F8" s="14">
        <v>26.0</v>
      </c>
      <c r="G8" s="14"/>
      <c r="H8" s="14">
        <v>32.0</v>
      </c>
      <c r="I8" s="14"/>
      <c r="J8" s="14">
        <v>8.0</v>
      </c>
    </row>
    <row r="9" ht="12.75" customHeight="1">
      <c r="A9" s="10" t="str">
        <f t="shared" si="1"/>
        <v/>
      </c>
      <c r="B9" s="37">
        <f t="shared" si="2"/>
        <v>6</v>
      </c>
      <c r="C9" s="12" t="s">
        <v>337</v>
      </c>
      <c r="D9" s="86" t="s">
        <v>45</v>
      </c>
      <c r="E9" s="12">
        <f t="shared" si="3"/>
        <v>58</v>
      </c>
      <c r="F9" s="14">
        <v>26.0</v>
      </c>
      <c r="G9" s="13"/>
      <c r="H9" s="14">
        <v>32.0</v>
      </c>
      <c r="I9" s="14"/>
      <c r="J9" s="13"/>
    </row>
    <row r="10" ht="12.75" customHeight="1">
      <c r="A10" s="10" t="str">
        <f t="shared" si="1"/>
        <v/>
      </c>
      <c r="B10" s="37">
        <f t="shared" si="2"/>
        <v>7</v>
      </c>
      <c r="C10" s="12" t="s">
        <v>338</v>
      </c>
      <c r="D10" s="86" t="s">
        <v>204</v>
      </c>
      <c r="E10" s="12">
        <f t="shared" si="3"/>
        <v>44</v>
      </c>
      <c r="F10" s="14">
        <v>7.0</v>
      </c>
      <c r="G10" s="14">
        <v>23.0</v>
      </c>
      <c r="H10" s="13"/>
      <c r="I10" s="13"/>
      <c r="J10" s="14">
        <v>14.0</v>
      </c>
    </row>
    <row r="11" ht="12.75" customHeight="1">
      <c r="A11" s="10" t="str">
        <f t="shared" si="1"/>
        <v/>
      </c>
      <c r="B11" s="37">
        <f t="shared" si="2"/>
        <v>8</v>
      </c>
      <c r="C11" s="17" t="s">
        <v>201</v>
      </c>
      <c r="D11" s="16" t="s">
        <v>339</v>
      </c>
      <c r="E11" s="12">
        <f t="shared" si="3"/>
        <v>42</v>
      </c>
      <c r="F11" s="14"/>
      <c r="G11" s="14">
        <v>14.0</v>
      </c>
      <c r="H11" s="13"/>
      <c r="I11" s="14">
        <v>14.0</v>
      </c>
      <c r="J11" s="14">
        <v>14.0</v>
      </c>
    </row>
    <row r="12" ht="12.75" customHeight="1">
      <c r="A12" s="10" t="str">
        <f t="shared" si="1"/>
        <v/>
      </c>
      <c r="B12" s="37">
        <f t="shared" si="2"/>
        <v>9</v>
      </c>
      <c r="C12" s="16" t="s">
        <v>125</v>
      </c>
      <c r="D12" s="16" t="s">
        <v>126</v>
      </c>
      <c r="E12" s="12">
        <f t="shared" si="3"/>
        <v>32</v>
      </c>
      <c r="F12" s="14"/>
      <c r="G12" s="13"/>
      <c r="H12" s="13"/>
      <c r="I12" s="14">
        <v>32.0</v>
      </c>
      <c r="J12" s="13"/>
    </row>
    <row r="13" ht="12.75" customHeight="1">
      <c r="A13" s="10" t="str">
        <f t="shared" si="1"/>
        <v>T</v>
      </c>
      <c r="B13" s="37">
        <f t="shared" si="2"/>
        <v>9</v>
      </c>
      <c r="C13" s="17" t="s">
        <v>340</v>
      </c>
      <c r="D13" s="16" t="s">
        <v>126</v>
      </c>
      <c r="E13" s="12">
        <f t="shared" si="3"/>
        <v>32</v>
      </c>
      <c r="F13" s="14"/>
      <c r="G13" s="13"/>
      <c r="H13" s="13"/>
      <c r="I13" s="14">
        <v>32.0</v>
      </c>
      <c r="J13" s="13"/>
    </row>
    <row r="14" ht="12.75" customHeight="1">
      <c r="A14" s="10" t="str">
        <f t="shared" si="1"/>
        <v/>
      </c>
      <c r="B14" s="37">
        <f t="shared" si="2"/>
        <v>11</v>
      </c>
      <c r="C14" s="17" t="s">
        <v>218</v>
      </c>
      <c r="D14" s="17" t="s">
        <v>36</v>
      </c>
      <c r="E14" s="12">
        <f t="shared" si="3"/>
        <v>30</v>
      </c>
      <c r="F14" s="13"/>
      <c r="G14" s="14">
        <v>14.0</v>
      </c>
      <c r="H14" s="14">
        <v>8.0</v>
      </c>
      <c r="I14" s="14"/>
      <c r="J14" s="14">
        <v>8.0</v>
      </c>
    </row>
    <row r="15" ht="12.75" customHeight="1">
      <c r="A15" s="10" t="str">
        <f t="shared" si="1"/>
        <v>T</v>
      </c>
      <c r="B15" s="37">
        <f t="shared" si="2"/>
        <v>11</v>
      </c>
      <c r="C15" s="16" t="s">
        <v>341</v>
      </c>
      <c r="D15" s="87" t="s">
        <v>45</v>
      </c>
      <c r="E15" s="12">
        <f t="shared" si="3"/>
        <v>30</v>
      </c>
      <c r="F15" s="14">
        <v>7.0</v>
      </c>
      <c r="G15" s="14">
        <v>23.0</v>
      </c>
      <c r="H15" s="13"/>
      <c r="I15" s="13"/>
      <c r="J15" s="13"/>
    </row>
    <row r="16" ht="12.75" customHeight="1">
      <c r="A16" s="10" t="str">
        <f t="shared" si="1"/>
        <v>T</v>
      </c>
      <c r="B16" s="37">
        <f t="shared" si="2"/>
        <v>11</v>
      </c>
      <c r="C16" s="16" t="s">
        <v>342</v>
      </c>
      <c r="D16" s="88" t="s">
        <v>343</v>
      </c>
      <c r="E16" s="12">
        <f t="shared" si="3"/>
        <v>30</v>
      </c>
      <c r="F16" s="13"/>
      <c r="G16" s="14">
        <v>14.0</v>
      </c>
      <c r="H16" s="14">
        <v>8.0</v>
      </c>
      <c r="I16" s="14"/>
      <c r="J16" s="14">
        <v>8.0</v>
      </c>
    </row>
    <row r="17" ht="12.75" customHeight="1">
      <c r="A17" s="10" t="str">
        <f t="shared" si="1"/>
        <v/>
      </c>
      <c r="B17" s="37">
        <f t="shared" si="2"/>
        <v>14</v>
      </c>
      <c r="C17" s="12" t="s">
        <v>118</v>
      </c>
      <c r="D17" s="86" t="s">
        <v>32</v>
      </c>
      <c r="E17" s="12">
        <f t="shared" si="3"/>
        <v>20</v>
      </c>
      <c r="F17" s="14">
        <v>12.0</v>
      </c>
      <c r="G17" s="13"/>
      <c r="H17" s="13"/>
      <c r="I17" s="14">
        <v>8.0</v>
      </c>
      <c r="J17" s="13"/>
    </row>
    <row r="18" ht="12.75" customHeight="1">
      <c r="A18" s="10" t="str">
        <f t="shared" si="1"/>
        <v>T</v>
      </c>
      <c r="B18" s="37">
        <f t="shared" si="2"/>
        <v>14</v>
      </c>
      <c r="C18" s="12" t="s">
        <v>223</v>
      </c>
      <c r="D18" s="86" t="s">
        <v>130</v>
      </c>
      <c r="E18" s="12">
        <f t="shared" si="3"/>
        <v>20</v>
      </c>
      <c r="F18" s="14">
        <v>12.0</v>
      </c>
      <c r="G18" s="13"/>
      <c r="H18" s="13"/>
      <c r="I18" s="14">
        <v>8.0</v>
      </c>
      <c r="J18" s="13"/>
    </row>
    <row r="19" ht="13.5" customHeight="1">
      <c r="A19" s="10" t="str">
        <f t="shared" si="1"/>
        <v/>
      </c>
      <c r="B19" s="37">
        <f t="shared" si="2"/>
        <v>16</v>
      </c>
      <c r="C19" s="12" t="s">
        <v>129</v>
      </c>
      <c r="D19" s="16" t="s">
        <v>130</v>
      </c>
      <c r="E19" s="12">
        <f t="shared" si="3"/>
        <v>16</v>
      </c>
      <c r="F19" s="13"/>
      <c r="G19" s="13"/>
      <c r="H19" s="14">
        <v>8.0</v>
      </c>
      <c r="I19" s="14">
        <v>8.0</v>
      </c>
      <c r="J19" s="13"/>
    </row>
    <row r="20" ht="12.75" customHeight="1">
      <c r="A20" s="10" t="str">
        <f t="shared" si="1"/>
        <v>T</v>
      </c>
      <c r="B20" s="37">
        <f t="shared" si="2"/>
        <v>16</v>
      </c>
      <c r="C20" s="12" t="s">
        <v>226</v>
      </c>
      <c r="D20" s="12" t="s">
        <v>179</v>
      </c>
      <c r="E20" s="12">
        <f t="shared" si="3"/>
        <v>16</v>
      </c>
      <c r="F20" s="13"/>
      <c r="G20" s="13"/>
      <c r="H20" s="14">
        <v>8.0</v>
      </c>
      <c r="I20" s="14">
        <v>8.0</v>
      </c>
      <c r="J20" s="13"/>
    </row>
    <row r="21" ht="12.75" customHeight="1">
      <c r="A21" s="10" t="str">
        <f t="shared" si="1"/>
        <v/>
      </c>
      <c r="B21" s="37">
        <f t="shared" si="2"/>
        <v>18</v>
      </c>
      <c r="C21" s="16" t="s">
        <v>222</v>
      </c>
      <c r="D21" s="87" t="s">
        <v>130</v>
      </c>
      <c r="E21" s="12">
        <f t="shared" si="3"/>
        <v>14</v>
      </c>
      <c r="F21" s="13"/>
      <c r="G21" s="14">
        <v>14.0</v>
      </c>
      <c r="H21" s="13"/>
      <c r="I21" s="13"/>
      <c r="J21" s="13"/>
    </row>
    <row r="22" ht="12.75" customHeight="1">
      <c r="A22" s="10" t="str">
        <f t="shared" si="1"/>
        <v>T</v>
      </c>
      <c r="B22" s="37">
        <f t="shared" si="2"/>
        <v>18</v>
      </c>
      <c r="C22" s="16" t="s">
        <v>125</v>
      </c>
      <c r="D22" s="16" t="s">
        <v>126</v>
      </c>
      <c r="E22" s="12">
        <f t="shared" si="3"/>
        <v>14</v>
      </c>
      <c r="F22" s="14"/>
      <c r="G22" s="13"/>
      <c r="H22" s="13"/>
      <c r="I22" s="14">
        <v>14.0</v>
      </c>
      <c r="J22" s="13"/>
    </row>
    <row r="23" ht="12.75" customHeight="1">
      <c r="A23" s="10" t="str">
        <f t="shared" si="1"/>
        <v>T</v>
      </c>
      <c r="B23" s="37">
        <f t="shared" si="2"/>
        <v>18</v>
      </c>
      <c r="C23" s="12" t="s">
        <v>214</v>
      </c>
      <c r="D23" s="86" t="s">
        <v>215</v>
      </c>
      <c r="E23" s="12">
        <f t="shared" si="3"/>
        <v>14</v>
      </c>
      <c r="F23" s="13"/>
      <c r="G23" s="13"/>
      <c r="H23" s="14">
        <v>14.0</v>
      </c>
      <c r="I23" s="14"/>
      <c r="J23" s="13"/>
    </row>
    <row r="24" ht="12.75" customHeight="1">
      <c r="A24" s="10" t="str">
        <f t="shared" si="1"/>
        <v>T</v>
      </c>
      <c r="B24" s="37">
        <f t="shared" si="2"/>
        <v>18</v>
      </c>
      <c r="C24" s="12" t="s">
        <v>225</v>
      </c>
      <c r="D24" s="86" t="s">
        <v>210</v>
      </c>
      <c r="E24" s="12">
        <f t="shared" si="3"/>
        <v>14</v>
      </c>
      <c r="F24" s="13"/>
      <c r="G24" s="13"/>
      <c r="H24" s="13"/>
      <c r="I24" s="13"/>
      <c r="J24" s="14">
        <v>14.0</v>
      </c>
    </row>
    <row r="25" ht="12.75" customHeight="1">
      <c r="A25" s="10" t="str">
        <f t="shared" si="1"/>
        <v>T</v>
      </c>
      <c r="B25" s="37">
        <f t="shared" si="2"/>
        <v>18</v>
      </c>
      <c r="C25" s="16" t="s">
        <v>344</v>
      </c>
      <c r="D25" s="88" t="s">
        <v>345</v>
      </c>
      <c r="E25" s="12">
        <f t="shared" si="3"/>
        <v>14</v>
      </c>
      <c r="F25" s="13"/>
      <c r="G25" s="13"/>
      <c r="H25" s="14">
        <v>14.0</v>
      </c>
      <c r="I25" s="14"/>
      <c r="J25" s="13"/>
    </row>
    <row r="26" ht="12.75" customHeight="1">
      <c r="A26" s="10" t="str">
        <f t="shared" si="1"/>
        <v>T</v>
      </c>
      <c r="B26" s="37">
        <f t="shared" si="2"/>
        <v>18</v>
      </c>
      <c r="C26" s="16" t="s">
        <v>333</v>
      </c>
      <c r="D26" s="87" t="s">
        <v>63</v>
      </c>
      <c r="E26" s="12">
        <f t="shared" si="3"/>
        <v>14</v>
      </c>
      <c r="F26" s="13"/>
      <c r="G26" s="13"/>
      <c r="H26" s="13"/>
      <c r="I26" s="13"/>
      <c r="J26" s="14">
        <v>14.0</v>
      </c>
    </row>
    <row r="27" ht="12.75" customHeight="1">
      <c r="A27" s="10" t="str">
        <f t="shared" si="1"/>
        <v/>
      </c>
      <c r="B27" s="37">
        <f t="shared" si="2"/>
        <v>24</v>
      </c>
      <c r="C27" s="12" t="s">
        <v>346</v>
      </c>
      <c r="D27" s="86" t="s">
        <v>345</v>
      </c>
      <c r="E27" s="12">
        <f t="shared" si="3"/>
        <v>12</v>
      </c>
      <c r="F27" s="14">
        <v>12.0</v>
      </c>
      <c r="G27" s="13"/>
      <c r="H27" s="13"/>
      <c r="I27" s="13"/>
      <c r="J27" s="13"/>
    </row>
    <row r="28" ht="12.75" customHeight="1">
      <c r="A28" s="10" t="str">
        <f t="shared" si="1"/>
        <v>T</v>
      </c>
      <c r="B28" s="37">
        <f t="shared" si="2"/>
        <v>24</v>
      </c>
      <c r="C28" s="16" t="s">
        <v>347</v>
      </c>
      <c r="D28" s="86" t="s">
        <v>36</v>
      </c>
      <c r="E28" s="12">
        <f t="shared" si="3"/>
        <v>12</v>
      </c>
      <c r="F28" s="14">
        <v>12.0</v>
      </c>
      <c r="G28" s="13"/>
      <c r="H28" s="13"/>
      <c r="I28" s="13"/>
      <c r="J28" s="13"/>
    </row>
    <row r="29" ht="12.75" customHeight="1">
      <c r="A29" s="10" t="str">
        <f t="shared" si="1"/>
        <v/>
      </c>
      <c r="B29" s="37">
        <f t="shared" si="2"/>
        <v>26</v>
      </c>
      <c r="C29" s="12" t="s">
        <v>216</v>
      </c>
      <c r="D29" s="86" t="s">
        <v>217</v>
      </c>
      <c r="E29" s="12">
        <f t="shared" si="3"/>
        <v>8</v>
      </c>
      <c r="F29" s="13"/>
      <c r="G29" s="13"/>
      <c r="H29" s="14">
        <v>8.0</v>
      </c>
      <c r="I29" s="14"/>
      <c r="J29" s="13"/>
    </row>
    <row r="30" ht="12.75" customHeight="1">
      <c r="A30" s="10" t="str">
        <f t="shared" si="1"/>
        <v>T</v>
      </c>
      <c r="B30" s="37">
        <f t="shared" si="2"/>
        <v>26</v>
      </c>
      <c r="C30" s="16" t="s">
        <v>348</v>
      </c>
      <c r="D30" s="86" t="s">
        <v>210</v>
      </c>
      <c r="E30" s="12">
        <f t="shared" si="3"/>
        <v>8</v>
      </c>
      <c r="F30" s="13"/>
      <c r="G30" s="13"/>
      <c r="H30" s="14">
        <v>8.0</v>
      </c>
      <c r="I30" s="14"/>
      <c r="J30" s="13"/>
    </row>
    <row r="31" ht="12.75" customHeight="1">
      <c r="A31" s="10" t="str">
        <f t="shared" si="1"/>
        <v>T</v>
      </c>
      <c r="B31" s="37">
        <f t="shared" si="2"/>
        <v>26</v>
      </c>
      <c r="C31" s="16" t="s">
        <v>349</v>
      </c>
      <c r="D31" s="87" t="s">
        <v>350</v>
      </c>
      <c r="E31" s="12">
        <f t="shared" si="3"/>
        <v>8</v>
      </c>
      <c r="F31" s="13"/>
      <c r="G31" s="13"/>
      <c r="H31" s="13"/>
      <c r="I31" s="13"/>
      <c r="J31" s="14">
        <v>8.0</v>
      </c>
    </row>
    <row r="32" ht="12.75" customHeight="1">
      <c r="A32" s="10"/>
      <c r="B32" s="37"/>
      <c r="C32" s="89"/>
      <c r="D32" s="86"/>
      <c r="E32" s="12"/>
      <c r="F32" s="13"/>
      <c r="G32" s="13"/>
      <c r="H32" s="13"/>
      <c r="I32" s="13"/>
      <c r="J32" s="13"/>
    </row>
    <row r="33" ht="12.75" customHeight="1">
      <c r="A33" s="10"/>
      <c r="B33" s="37"/>
      <c r="C33" s="12"/>
      <c r="D33" s="86"/>
      <c r="E33" s="12"/>
      <c r="F33" s="13"/>
      <c r="G33" s="13"/>
      <c r="H33" s="13"/>
      <c r="I33" s="13"/>
      <c r="J33" s="13"/>
    </row>
    <row r="34" ht="12.75" customHeight="1">
      <c r="A34" s="10"/>
      <c r="B34" s="37"/>
      <c r="C34" s="89"/>
      <c r="D34" s="86"/>
      <c r="E34" s="12"/>
      <c r="F34" s="13"/>
      <c r="G34" s="13"/>
      <c r="H34" s="13"/>
      <c r="I34" s="13"/>
      <c r="J34" s="13"/>
    </row>
    <row r="35" ht="12.75" customHeight="1">
      <c r="A35" s="10"/>
      <c r="B35" s="37"/>
      <c r="C35" s="12"/>
      <c r="D35" s="86"/>
      <c r="E35" s="12"/>
      <c r="F35" s="13"/>
      <c r="G35" s="13"/>
      <c r="H35" s="13"/>
      <c r="I35" s="13"/>
      <c r="J35" s="13"/>
    </row>
    <row r="36" ht="12.75" customHeight="1"/>
    <row r="37" ht="12.0" customHeight="1">
      <c r="A37" s="19" t="s">
        <v>137</v>
      </c>
      <c r="B37" s="20"/>
      <c r="C37" s="21" t="s">
        <v>138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</row>
    <row r="38" ht="12.75" customHeight="1">
      <c r="A38" s="19" t="s">
        <v>137</v>
      </c>
      <c r="B38" s="24"/>
      <c r="C38" s="25" t="s">
        <v>139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</sheetData>
  <mergeCells count="4">
    <mergeCell ref="F2:H2"/>
    <mergeCell ref="A3:B3"/>
    <mergeCell ref="C37:N37"/>
    <mergeCell ref="C38:N38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13"/>
    <col customWidth="1" min="3" max="3" width="12.38"/>
    <col customWidth="1" min="4" max="4" width="18.25"/>
    <col customWidth="1" min="5" max="5" width="5.25"/>
    <col customWidth="1" min="6" max="11" width="7.5"/>
    <col customWidth="1" min="12" max="12" width="7.0"/>
    <col customWidth="1" min="13" max="28" width="8.0"/>
  </cols>
  <sheetData>
    <row r="1" ht="16.5" customHeight="1">
      <c r="B1" s="26" t="s">
        <v>351</v>
      </c>
    </row>
    <row r="2" ht="12.75" customHeight="1">
      <c r="A2" s="27"/>
      <c r="B2" s="28"/>
      <c r="C2" s="5"/>
      <c r="D2" s="5"/>
      <c r="E2" s="5"/>
      <c r="F2" s="42" t="s">
        <v>141</v>
      </c>
      <c r="G2" s="34"/>
      <c r="H2" s="34"/>
      <c r="I2" s="34"/>
      <c r="J2" s="34"/>
      <c r="K2" s="34"/>
      <c r="L2" s="35"/>
    </row>
    <row r="3" ht="12.75" customHeight="1">
      <c r="A3" s="30" t="s">
        <v>1</v>
      </c>
      <c r="B3" s="31"/>
      <c r="C3" s="43" t="s">
        <v>2</v>
      </c>
      <c r="D3" s="32" t="s">
        <v>3</v>
      </c>
      <c r="E3" s="32" t="s">
        <v>4</v>
      </c>
      <c r="F3" s="7" t="s">
        <v>5</v>
      </c>
      <c r="G3" s="7" t="s">
        <v>6</v>
      </c>
      <c r="H3" s="7" t="s">
        <v>7</v>
      </c>
      <c r="I3" s="8" t="s">
        <v>10</v>
      </c>
      <c r="J3" s="8" t="s">
        <v>11</v>
      </c>
      <c r="K3" s="8" t="s">
        <v>352</v>
      </c>
      <c r="L3" s="8" t="s">
        <v>16</v>
      </c>
    </row>
    <row r="4" ht="12.75" customHeight="1">
      <c r="A4" s="10" t="str">
        <f t="shared" ref="A4:A33" si="1">IF(B4=B3,"T","")</f>
        <v/>
      </c>
      <c r="B4" s="11">
        <f t="shared" ref="B4:B33" si="2">RANK(E4,$E$4:$E$31,0)</f>
        <v>1</v>
      </c>
      <c r="C4" s="12" t="s">
        <v>353</v>
      </c>
      <c r="D4" s="12" t="s">
        <v>318</v>
      </c>
      <c r="E4" s="12">
        <f t="shared" ref="E4:E33" si="3">SUM(F4:L4)</f>
        <v>43</v>
      </c>
      <c r="F4" s="13"/>
      <c r="G4" s="13"/>
      <c r="H4" s="13"/>
      <c r="I4" s="14">
        <v>18.0</v>
      </c>
      <c r="J4" s="14">
        <v>18.0</v>
      </c>
      <c r="K4" s="13"/>
      <c r="L4" s="14">
        <v>7.0</v>
      </c>
    </row>
    <row r="5" ht="12.75" customHeight="1">
      <c r="A5" s="10" t="str">
        <f t="shared" si="1"/>
        <v/>
      </c>
      <c r="B5" s="11">
        <f t="shared" si="2"/>
        <v>2</v>
      </c>
      <c r="C5" s="12" t="s">
        <v>354</v>
      </c>
      <c r="D5" s="86" t="s">
        <v>70</v>
      </c>
      <c r="E5" s="12">
        <f t="shared" si="3"/>
        <v>38</v>
      </c>
      <c r="F5" s="13"/>
      <c r="G5" s="13"/>
      <c r="H5" s="13"/>
      <c r="I5" s="14">
        <v>26.0</v>
      </c>
      <c r="J5" s="13"/>
      <c r="K5" s="14">
        <v>12.0</v>
      </c>
      <c r="L5" s="13"/>
    </row>
    <row r="6" ht="12.75" customHeight="1">
      <c r="A6" s="10" t="str">
        <f t="shared" si="1"/>
        <v>T</v>
      </c>
      <c r="B6" s="11">
        <f t="shared" si="2"/>
        <v>2</v>
      </c>
      <c r="C6" s="12" t="s">
        <v>44</v>
      </c>
      <c r="D6" s="12" t="s">
        <v>45</v>
      </c>
      <c r="E6" s="12">
        <f t="shared" si="3"/>
        <v>38</v>
      </c>
      <c r="F6" s="13"/>
      <c r="G6" s="13"/>
      <c r="H6" s="14">
        <v>12.0</v>
      </c>
      <c r="I6" s="13"/>
      <c r="J6" s="13"/>
      <c r="K6" s="14">
        <v>26.0</v>
      </c>
      <c r="L6" s="13"/>
    </row>
    <row r="7" ht="12.75" customHeight="1">
      <c r="A7" s="10" t="str">
        <f t="shared" si="1"/>
        <v>T</v>
      </c>
      <c r="B7" s="11">
        <f t="shared" si="2"/>
        <v>2</v>
      </c>
      <c r="C7" s="16" t="s">
        <v>100</v>
      </c>
      <c r="D7" s="16" t="s">
        <v>49</v>
      </c>
      <c r="E7" s="12">
        <f t="shared" si="3"/>
        <v>38</v>
      </c>
      <c r="F7" s="14">
        <v>12.0</v>
      </c>
      <c r="G7" s="13"/>
      <c r="H7" s="13"/>
      <c r="I7" s="13"/>
      <c r="J7" s="13"/>
      <c r="K7" s="13"/>
      <c r="L7" s="14">
        <v>26.0</v>
      </c>
    </row>
    <row r="8" ht="12.75" customHeight="1">
      <c r="A8" s="10" t="str">
        <f t="shared" si="1"/>
        <v/>
      </c>
      <c r="B8" s="11">
        <f t="shared" si="2"/>
        <v>5</v>
      </c>
      <c r="C8" s="12" t="s">
        <v>355</v>
      </c>
      <c r="D8" s="12" t="s">
        <v>36</v>
      </c>
      <c r="E8" s="12">
        <f t="shared" si="3"/>
        <v>31</v>
      </c>
      <c r="F8" s="13"/>
      <c r="G8" s="14">
        <v>12.0</v>
      </c>
      <c r="H8" s="13"/>
      <c r="I8" s="14">
        <v>12.0</v>
      </c>
      <c r="J8" s="14"/>
      <c r="K8" s="13"/>
      <c r="L8" s="14">
        <v>7.0</v>
      </c>
    </row>
    <row r="9" ht="12.75" customHeight="1">
      <c r="A9" s="10" t="str">
        <f t="shared" si="1"/>
        <v/>
      </c>
      <c r="B9" s="11">
        <f t="shared" si="2"/>
        <v>6</v>
      </c>
      <c r="C9" s="12" t="s">
        <v>75</v>
      </c>
      <c r="D9" s="16" t="s">
        <v>76</v>
      </c>
      <c r="E9" s="12">
        <f t="shared" si="3"/>
        <v>26</v>
      </c>
      <c r="F9" s="14">
        <v>7.0</v>
      </c>
      <c r="G9" s="13"/>
      <c r="H9" s="13"/>
      <c r="I9" s="13"/>
      <c r="J9" s="14">
        <v>12.0</v>
      </c>
      <c r="K9" s="14">
        <v>7.0</v>
      </c>
      <c r="L9" s="13"/>
    </row>
    <row r="10" ht="12.75" customHeight="1">
      <c r="A10" s="10" t="str">
        <f t="shared" si="1"/>
        <v>T</v>
      </c>
      <c r="B10" s="11">
        <f t="shared" si="2"/>
        <v>6</v>
      </c>
      <c r="C10" s="16" t="s">
        <v>356</v>
      </c>
      <c r="D10" s="16" t="s">
        <v>51</v>
      </c>
      <c r="E10" s="12">
        <f t="shared" si="3"/>
        <v>26</v>
      </c>
      <c r="F10" s="13"/>
      <c r="G10" s="13"/>
      <c r="H10" s="13"/>
      <c r="I10" s="13"/>
      <c r="J10" s="14">
        <v>26.0</v>
      </c>
      <c r="K10" s="13"/>
      <c r="L10" s="13"/>
    </row>
    <row r="11" ht="12.75" customHeight="1">
      <c r="A11" s="10" t="str">
        <f t="shared" si="1"/>
        <v/>
      </c>
      <c r="B11" s="11">
        <f t="shared" si="2"/>
        <v>8</v>
      </c>
      <c r="C11" s="16" t="s">
        <v>54</v>
      </c>
      <c r="D11" s="16" t="s">
        <v>55</v>
      </c>
      <c r="E11" s="12">
        <f t="shared" si="3"/>
        <v>25</v>
      </c>
      <c r="F11" s="13"/>
      <c r="G11" s="13"/>
      <c r="H11" s="14">
        <v>7.0</v>
      </c>
      <c r="I11" s="13"/>
      <c r="J11" s="13"/>
      <c r="K11" s="14">
        <v>18.0</v>
      </c>
      <c r="L11" s="13"/>
    </row>
    <row r="12" ht="12.75" customHeight="1">
      <c r="A12" s="10" t="str">
        <f t="shared" si="1"/>
        <v/>
      </c>
      <c r="B12" s="11">
        <f t="shared" si="2"/>
        <v>9</v>
      </c>
      <c r="C12" s="16" t="s">
        <v>357</v>
      </c>
      <c r="D12" s="12" t="s">
        <v>70</v>
      </c>
      <c r="E12" s="12">
        <f t="shared" si="3"/>
        <v>19</v>
      </c>
      <c r="F12" s="13"/>
      <c r="G12" s="13"/>
      <c r="H12" s="13"/>
      <c r="I12" s="13"/>
      <c r="J12" s="13"/>
      <c r="K12" s="14">
        <v>12.0</v>
      </c>
      <c r="L12" s="14">
        <v>7.0</v>
      </c>
    </row>
    <row r="13" ht="12.75" customHeight="1">
      <c r="A13" s="10" t="str">
        <f t="shared" si="1"/>
        <v/>
      </c>
      <c r="B13" s="11">
        <f t="shared" si="2"/>
        <v>10</v>
      </c>
      <c r="C13" s="16" t="s">
        <v>358</v>
      </c>
      <c r="D13" s="16" t="s">
        <v>359</v>
      </c>
      <c r="E13" s="12">
        <f t="shared" si="3"/>
        <v>18</v>
      </c>
      <c r="F13" s="13"/>
      <c r="G13" s="13"/>
      <c r="H13" s="13"/>
      <c r="I13" s="13"/>
      <c r="J13" s="13"/>
      <c r="K13" s="13"/>
      <c r="L13" s="14">
        <v>18.0</v>
      </c>
    </row>
    <row r="14" ht="12.75" customHeight="1">
      <c r="A14" s="10" t="str">
        <f t="shared" si="1"/>
        <v/>
      </c>
      <c r="B14" s="11">
        <f t="shared" si="2"/>
        <v>11</v>
      </c>
      <c r="C14" s="12" t="s">
        <v>360</v>
      </c>
      <c r="D14" s="12" t="s">
        <v>361</v>
      </c>
      <c r="E14" s="12">
        <f t="shared" si="3"/>
        <v>17</v>
      </c>
      <c r="F14" s="13"/>
      <c r="G14" s="13"/>
      <c r="H14" s="14">
        <v>17.0</v>
      </c>
      <c r="I14" s="13"/>
      <c r="J14" s="13"/>
      <c r="K14" s="13"/>
      <c r="L14" s="13"/>
    </row>
    <row r="15" ht="12.75" customHeight="1">
      <c r="A15" s="10" t="str">
        <f t="shared" si="1"/>
        <v>T</v>
      </c>
      <c r="B15" s="11">
        <f t="shared" si="2"/>
        <v>11</v>
      </c>
      <c r="C15" s="12" t="s">
        <v>362</v>
      </c>
      <c r="D15" s="12" t="s">
        <v>51</v>
      </c>
      <c r="E15" s="12">
        <f t="shared" si="3"/>
        <v>17</v>
      </c>
      <c r="F15" s="14">
        <v>17.0</v>
      </c>
      <c r="G15" s="13"/>
      <c r="H15" s="13"/>
      <c r="I15" s="13"/>
      <c r="J15" s="13"/>
      <c r="K15" s="13"/>
      <c r="L15" s="13"/>
    </row>
    <row r="16" ht="12.75" customHeight="1">
      <c r="A16" s="10" t="str">
        <f t="shared" si="1"/>
        <v>T</v>
      </c>
      <c r="B16" s="11">
        <f t="shared" si="2"/>
        <v>11</v>
      </c>
      <c r="C16" s="12" t="s">
        <v>363</v>
      </c>
      <c r="D16" s="12" t="s">
        <v>276</v>
      </c>
      <c r="E16" s="12">
        <f t="shared" si="3"/>
        <v>17</v>
      </c>
      <c r="F16" s="13"/>
      <c r="G16" s="14">
        <v>17.0</v>
      </c>
      <c r="H16" s="13"/>
      <c r="I16" s="13"/>
      <c r="J16" s="13"/>
      <c r="K16" s="13"/>
      <c r="L16" s="13"/>
    </row>
    <row r="17" ht="12.75" customHeight="1">
      <c r="A17" s="10" t="str">
        <f t="shared" si="1"/>
        <v/>
      </c>
      <c r="B17" s="11">
        <f t="shared" si="2"/>
        <v>14</v>
      </c>
      <c r="C17" s="12" t="s">
        <v>364</v>
      </c>
      <c r="D17" s="12" t="s">
        <v>365</v>
      </c>
      <c r="E17" s="12">
        <f t="shared" si="3"/>
        <v>12</v>
      </c>
      <c r="F17" s="13"/>
      <c r="G17" s="13"/>
      <c r="H17" s="13"/>
      <c r="I17" s="14">
        <v>12.0</v>
      </c>
      <c r="J17" s="13"/>
      <c r="K17" s="13"/>
      <c r="L17" s="13"/>
    </row>
    <row r="18" ht="12.75" customHeight="1">
      <c r="A18" s="10" t="str">
        <f t="shared" si="1"/>
        <v>T</v>
      </c>
      <c r="B18" s="11">
        <f t="shared" si="2"/>
        <v>14</v>
      </c>
      <c r="C18" s="12" t="s">
        <v>366</v>
      </c>
      <c r="D18" s="12" t="s">
        <v>26</v>
      </c>
      <c r="E18" s="12">
        <f t="shared" si="3"/>
        <v>12</v>
      </c>
      <c r="F18" s="13"/>
      <c r="G18" s="13"/>
      <c r="H18" s="13"/>
      <c r="I18" s="13"/>
      <c r="J18" s="14">
        <v>12.0</v>
      </c>
      <c r="K18" s="13"/>
      <c r="L18" s="13"/>
    </row>
    <row r="19" ht="12.75" customHeight="1">
      <c r="A19" s="10" t="str">
        <f t="shared" si="1"/>
        <v>T</v>
      </c>
      <c r="B19" s="11">
        <f t="shared" si="2"/>
        <v>14</v>
      </c>
      <c r="C19" s="16" t="s">
        <v>367</v>
      </c>
      <c r="D19" s="16" t="s">
        <v>368</v>
      </c>
      <c r="E19" s="12">
        <f t="shared" si="3"/>
        <v>12</v>
      </c>
      <c r="F19" s="14">
        <v>12.0</v>
      </c>
      <c r="G19" s="13"/>
      <c r="H19" s="13"/>
      <c r="I19" s="13"/>
      <c r="J19" s="13"/>
      <c r="K19" s="13"/>
      <c r="L19" s="13"/>
    </row>
    <row r="20" ht="12.75" customHeight="1">
      <c r="A20" s="10" t="str">
        <f t="shared" si="1"/>
        <v>T</v>
      </c>
      <c r="B20" s="11">
        <f t="shared" si="2"/>
        <v>14</v>
      </c>
      <c r="C20" s="12" t="s">
        <v>155</v>
      </c>
      <c r="D20" s="12" t="s">
        <v>57</v>
      </c>
      <c r="E20" s="12">
        <f t="shared" si="3"/>
        <v>12</v>
      </c>
      <c r="F20" s="13"/>
      <c r="G20" s="13"/>
      <c r="H20" s="13"/>
      <c r="I20" s="13"/>
      <c r="J20" s="13"/>
      <c r="K20" s="13"/>
      <c r="L20" s="14">
        <v>12.0</v>
      </c>
    </row>
    <row r="21" ht="12.75" customHeight="1">
      <c r="A21" s="10" t="str">
        <f t="shared" si="1"/>
        <v>T</v>
      </c>
      <c r="B21" s="11">
        <f t="shared" si="2"/>
        <v>14</v>
      </c>
      <c r="C21" s="16" t="s">
        <v>369</v>
      </c>
      <c r="D21" s="16" t="s">
        <v>370</v>
      </c>
      <c r="E21" s="12">
        <f t="shared" si="3"/>
        <v>12</v>
      </c>
      <c r="F21" s="13"/>
      <c r="G21" s="13"/>
      <c r="H21" s="13"/>
      <c r="I21" s="13"/>
      <c r="J21" s="13"/>
      <c r="K21" s="13"/>
      <c r="L21" s="14">
        <v>12.0</v>
      </c>
    </row>
    <row r="22" ht="12.75" customHeight="1">
      <c r="A22" s="10" t="str">
        <f t="shared" si="1"/>
        <v/>
      </c>
      <c r="B22" s="11">
        <f t="shared" si="2"/>
        <v>19</v>
      </c>
      <c r="C22" s="16" t="s">
        <v>371</v>
      </c>
      <c r="D22" s="12" t="s">
        <v>134</v>
      </c>
      <c r="E22" s="12">
        <f t="shared" si="3"/>
        <v>7</v>
      </c>
      <c r="F22" s="13"/>
      <c r="G22" s="13"/>
      <c r="H22" s="13"/>
      <c r="I22" s="13"/>
      <c r="J22" s="13"/>
      <c r="K22" s="14">
        <v>7.0</v>
      </c>
      <c r="L22" s="13"/>
    </row>
    <row r="23" ht="12.75" customHeight="1">
      <c r="A23" s="10" t="str">
        <f t="shared" si="1"/>
        <v>T</v>
      </c>
      <c r="B23" s="11">
        <f t="shared" si="2"/>
        <v>19</v>
      </c>
      <c r="C23" s="16" t="s">
        <v>372</v>
      </c>
      <c r="D23" s="12" t="s">
        <v>128</v>
      </c>
      <c r="E23" s="12">
        <f t="shared" si="3"/>
        <v>7</v>
      </c>
      <c r="F23" s="13"/>
      <c r="G23" s="13"/>
      <c r="H23" s="13"/>
      <c r="I23" s="13"/>
      <c r="J23" s="13"/>
      <c r="K23" s="14">
        <v>7.0</v>
      </c>
      <c r="L23" s="13"/>
    </row>
    <row r="24" ht="12.75" customHeight="1">
      <c r="A24" s="10" t="str">
        <f t="shared" si="1"/>
        <v>T</v>
      </c>
      <c r="B24" s="11">
        <f t="shared" si="2"/>
        <v>19</v>
      </c>
      <c r="C24" s="16" t="s">
        <v>373</v>
      </c>
      <c r="D24" s="12" t="s">
        <v>365</v>
      </c>
      <c r="E24" s="12">
        <f t="shared" si="3"/>
        <v>7</v>
      </c>
      <c r="F24" s="13"/>
      <c r="G24" s="13"/>
      <c r="H24" s="13"/>
      <c r="I24" s="13"/>
      <c r="J24" s="13"/>
      <c r="K24" s="14">
        <v>7.0</v>
      </c>
      <c r="L24" s="13"/>
    </row>
    <row r="25" ht="12.75" customHeight="1">
      <c r="A25" s="10" t="str">
        <f t="shared" si="1"/>
        <v>T</v>
      </c>
      <c r="B25" s="11">
        <f t="shared" si="2"/>
        <v>19</v>
      </c>
      <c r="C25" s="16" t="s">
        <v>374</v>
      </c>
      <c r="D25" s="16" t="s">
        <v>359</v>
      </c>
      <c r="E25" s="12">
        <f t="shared" si="3"/>
        <v>7</v>
      </c>
      <c r="F25" s="13"/>
      <c r="G25" s="13"/>
      <c r="H25" s="13"/>
      <c r="I25" s="13"/>
      <c r="J25" s="13"/>
      <c r="K25" s="13"/>
      <c r="L25" s="14">
        <v>7.0</v>
      </c>
    </row>
    <row r="26" ht="12.75" customHeight="1">
      <c r="A26" s="10" t="str">
        <f t="shared" si="1"/>
        <v>T</v>
      </c>
      <c r="B26" s="11">
        <f t="shared" si="2"/>
        <v>19</v>
      </c>
      <c r="C26" s="16" t="s">
        <v>375</v>
      </c>
      <c r="D26" s="12" t="s">
        <v>24</v>
      </c>
      <c r="E26" s="12">
        <f t="shared" si="3"/>
        <v>7</v>
      </c>
      <c r="F26" s="13"/>
      <c r="G26" s="13"/>
      <c r="H26" s="13"/>
      <c r="I26" s="13"/>
      <c r="J26" s="14">
        <v>7.0</v>
      </c>
      <c r="K26" s="13"/>
      <c r="L26" s="13"/>
    </row>
    <row r="27" ht="12.75" customHeight="1">
      <c r="A27" s="10" t="str">
        <f t="shared" si="1"/>
        <v>T</v>
      </c>
      <c r="B27" s="11">
        <f t="shared" si="2"/>
        <v>19</v>
      </c>
      <c r="C27" s="90" t="s">
        <v>376</v>
      </c>
      <c r="D27" s="16" t="s">
        <v>318</v>
      </c>
      <c r="E27" s="12">
        <f t="shared" si="3"/>
        <v>7</v>
      </c>
      <c r="F27" s="13"/>
      <c r="G27" s="13"/>
      <c r="H27" s="13"/>
      <c r="I27" s="13"/>
      <c r="J27" s="14">
        <v>7.0</v>
      </c>
      <c r="K27" s="13"/>
      <c r="L27" s="13"/>
    </row>
    <row r="28" ht="12.75" customHeight="1">
      <c r="A28" s="10" t="str">
        <f t="shared" si="1"/>
        <v>T</v>
      </c>
      <c r="B28" s="11">
        <f t="shared" si="2"/>
        <v>19</v>
      </c>
      <c r="C28" s="12" t="s">
        <v>377</v>
      </c>
      <c r="D28" s="12" t="s">
        <v>247</v>
      </c>
      <c r="E28" s="12">
        <f t="shared" si="3"/>
        <v>7</v>
      </c>
      <c r="F28" s="13"/>
      <c r="G28" s="13"/>
      <c r="H28" s="13"/>
      <c r="I28" s="13"/>
      <c r="J28" s="14">
        <v>7.0</v>
      </c>
      <c r="K28" s="13"/>
      <c r="L28" s="13"/>
    </row>
    <row r="29" ht="12.75" customHeight="1">
      <c r="A29" s="10" t="str">
        <f t="shared" si="1"/>
        <v>T</v>
      </c>
      <c r="B29" s="11">
        <f t="shared" si="2"/>
        <v>19</v>
      </c>
      <c r="C29" s="16" t="s">
        <v>378</v>
      </c>
      <c r="D29" s="16" t="s">
        <v>276</v>
      </c>
      <c r="E29" s="12">
        <f t="shared" si="3"/>
        <v>7</v>
      </c>
      <c r="F29" s="14">
        <v>7.0</v>
      </c>
      <c r="G29" s="13"/>
      <c r="H29" s="13"/>
      <c r="I29" s="13"/>
      <c r="J29" s="13"/>
      <c r="K29" s="13"/>
      <c r="L29" s="13"/>
    </row>
    <row r="30" ht="12.75" customHeight="1">
      <c r="A30" s="10" t="str">
        <f t="shared" si="1"/>
        <v>T</v>
      </c>
      <c r="B30" s="11">
        <f t="shared" si="2"/>
        <v>19</v>
      </c>
      <c r="C30" s="16" t="s">
        <v>379</v>
      </c>
      <c r="D30" s="12" t="s">
        <v>36</v>
      </c>
      <c r="E30" s="12">
        <f t="shared" si="3"/>
        <v>7</v>
      </c>
      <c r="F30" s="13"/>
      <c r="G30" s="14">
        <v>7.0</v>
      </c>
      <c r="H30" s="13"/>
      <c r="I30" s="13"/>
      <c r="J30" s="13"/>
      <c r="K30" s="13"/>
      <c r="L30" s="13"/>
    </row>
    <row r="31" ht="12.75" customHeight="1">
      <c r="A31" s="10" t="str">
        <f t="shared" si="1"/>
        <v>T</v>
      </c>
      <c r="B31" s="11">
        <f t="shared" si="2"/>
        <v>19</v>
      </c>
      <c r="C31" s="16" t="s">
        <v>127</v>
      </c>
      <c r="D31" s="16" t="s">
        <v>128</v>
      </c>
      <c r="E31" s="12">
        <f t="shared" si="3"/>
        <v>7</v>
      </c>
      <c r="F31" s="91"/>
      <c r="G31" s="91"/>
      <c r="H31" s="92">
        <v>7.0</v>
      </c>
      <c r="I31" s="91"/>
      <c r="J31" s="91"/>
      <c r="K31" s="91"/>
      <c r="L31" s="91"/>
    </row>
    <row r="32" ht="12.75" customHeight="1">
      <c r="A32" s="10" t="str">
        <f t="shared" si="1"/>
        <v>T</v>
      </c>
      <c r="B32" s="11">
        <f t="shared" si="2"/>
        <v>19</v>
      </c>
      <c r="C32" s="16" t="s">
        <v>380</v>
      </c>
      <c r="D32" s="16" t="s">
        <v>34</v>
      </c>
      <c r="E32" s="12">
        <f t="shared" si="3"/>
        <v>7</v>
      </c>
      <c r="F32" s="91"/>
      <c r="G32" s="91"/>
      <c r="H32" s="91"/>
      <c r="I32" s="91"/>
      <c r="J32" s="92">
        <v>7.0</v>
      </c>
      <c r="K32" s="91"/>
      <c r="L32" s="91"/>
    </row>
    <row r="33" ht="12.75" customHeight="1">
      <c r="A33" s="10" t="str">
        <f t="shared" si="1"/>
        <v>T</v>
      </c>
      <c r="B33" s="11">
        <f t="shared" si="2"/>
        <v>19</v>
      </c>
      <c r="C33" s="16" t="s">
        <v>159</v>
      </c>
      <c r="D33" s="16" t="s">
        <v>32</v>
      </c>
      <c r="E33" s="12">
        <f t="shared" si="3"/>
        <v>7</v>
      </c>
      <c r="F33" s="91"/>
      <c r="G33" s="91"/>
      <c r="H33" s="91"/>
      <c r="I33" s="92">
        <v>7.0</v>
      </c>
      <c r="J33" s="92"/>
      <c r="K33" s="91"/>
      <c r="L33" s="91"/>
    </row>
    <row r="34" ht="12.75" customHeight="1">
      <c r="A34" s="10"/>
      <c r="B34" s="11"/>
      <c r="C34" s="12"/>
      <c r="D34" s="86"/>
      <c r="E34" s="12"/>
      <c r="F34" s="13"/>
      <c r="G34" s="13"/>
      <c r="H34" s="13"/>
      <c r="I34" s="13"/>
      <c r="J34" s="13"/>
      <c r="K34" s="13"/>
      <c r="L34" s="13"/>
    </row>
    <row r="35" ht="12.75" customHeight="1">
      <c r="A35" s="10"/>
      <c r="B35" s="11"/>
      <c r="C35" s="16"/>
      <c r="D35" s="12"/>
      <c r="E35" s="12"/>
      <c r="F35" s="13"/>
      <c r="G35" s="13"/>
      <c r="H35" s="13"/>
      <c r="I35" s="13"/>
      <c r="J35" s="13"/>
      <c r="K35" s="13"/>
      <c r="L35" s="13"/>
    </row>
    <row r="36" ht="12.75" customHeight="1">
      <c r="A36" s="10"/>
      <c r="B36" s="11"/>
      <c r="C36" s="16"/>
      <c r="D36" s="16"/>
      <c r="E36" s="12"/>
      <c r="F36" s="91"/>
      <c r="G36" s="91"/>
      <c r="H36" s="91"/>
      <c r="I36" s="91"/>
      <c r="J36" s="91"/>
      <c r="K36" s="91"/>
      <c r="L36" s="92"/>
    </row>
    <row r="37" ht="12.75" customHeight="1"/>
    <row r="38" ht="12.75" customHeight="1">
      <c r="A38" s="19" t="s">
        <v>137</v>
      </c>
      <c r="B38" s="20"/>
      <c r="C38" s="21" t="s">
        <v>138</v>
      </c>
      <c r="D38" s="22"/>
      <c r="E38" s="22"/>
      <c r="F38" s="22"/>
      <c r="G38" s="22"/>
      <c r="H38" s="22"/>
      <c r="I38" s="22"/>
      <c r="J38" s="22"/>
      <c r="K38" s="23"/>
    </row>
    <row r="39" ht="12.75" customHeight="1">
      <c r="A39" s="19" t="s">
        <v>137</v>
      </c>
      <c r="B39" s="24"/>
      <c r="C39" s="25" t="s">
        <v>139</v>
      </c>
      <c r="D39" s="22"/>
      <c r="E39" s="22"/>
      <c r="F39" s="22"/>
      <c r="G39" s="22"/>
      <c r="H39" s="22"/>
      <c r="I39" s="22"/>
      <c r="J39" s="22"/>
      <c r="K39" s="23"/>
      <c r="L39" s="93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2:L2"/>
    <mergeCell ref="A3:B3"/>
    <mergeCell ref="C38:K38"/>
    <mergeCell ref="C39:K39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5.25"/>
    <col customWidth="1" min="3" max="3" width="12.38"/>
    <col customWidth="1" min="4" max="4" width="17.25"/>
    <col customWidth="1" min="5" max="5" width="5.25"/>
    <col customWidth="1" min="6" max="7" width="8.0"/>
    <col customWidth="1" min="8" max="8" width="7.38"/>
    <col customWidth="1" min="9" max="10" width="7.63"/>
    <col customWidth="1" min="11" max="11" width="7.25"/>
    <col customWidth="1" min="12" max="15" width="8.0"/>
  </cols>
  <sheetData>
    <row r="1" ht="16.5" customHeight="1">
      <c r="B1" s="26" t="s">
        <v>381</v>
      </c>
    </row>
    <row r="2" ht="12.75" customHeight="1">
      <c r="A2" s="27"/>
      <c r="B2" s="28"/>
      <c r="C2" s="5"/>
      <c r="D2" s="5"/>
      <c r="E2" s="5"/>
      <c r="F2" s="42" t="s">
        <v>141</v>
      </c>
      <c r="G2" s="34"/>
      <c r="H2" s="34"/>
      <c r="I2" s="34"/>
      <c r="J2" s="34"/>
      <c r="K2" s="35"/>
    </row>
    <row r="3" ht="12.75" customHeight="1">
      <c r="A3" s="30" t="s">
        <v>1</v>
      </c>
      <c r="B3" s="31"/>
      <c r="C3" s="32" t="s">
        <v>2</v>
      </c>
      <c r="D3" s="32" t="s">
        <v>3</v>
      </c>
      <c r="E3" s="32" t="s">
        <v>4</v>
      </c>
      <c r="F3" s="7" t="s">
        <v>5</v>
      </c>
      <c r="G3" s="7" t="s">
        <v>7</v>
      </c>
      <c r="H3" s="94" t="s">
        <v>287</v>
      </c>
      <c r="I3" s="29" t="s">
        <v>352</v>
      </c>
      <c r="J3" s="29" t="s">
        <v>16</v>
      </c>
      <c r="K3" s="29" t="s">
        <v>17</v>
      </c>
    </row>
    <row r="4" ht="15.0" customHeight="1">
      <c r="A4" s="10" t="str">
        <f t="shared" ref="A4:A38" si="1">IF(B4=B3,"T","")</f>
        <v/>
      </c>
      <c r="B4" s="11">
        <f t="shared" ref="B4:B38" si="2">RANK(E4,$E$4:$E$49,0)</f>
        <v>1</v>
      </c>
      <c r="C4" s="12" t="s">
        <v>366</v>
      </c>
      <c r="D4" s="12" t="s">
        <v>26</v>
      </c>
      <c r="E4" s="12">
        <f t="shared" ref="E4:E38" si="3">SUM(F4:K4)</f>
        <v>43</v>
      </c>
      <c r="F4" s="14">
        <v>17.0</v>
      </c>
      <c r="G4" s="13"/>
      <c r="H4" s="14">
        <v>26.0</v>
      </c>
      <c r="I4" s="13"/>
      <c r="K4" s="13"/>
    </row>
    <row r="5" ht="12.75" customHeight="1">
      <c r="A5" s="10" t="str">
        <f t="shared" si="1"/>
        <v>T</v>
      </c>
      <c r="B5" s="11">
        <f t="shared" si="2"/>
        <v>1</v>
      </c>
      <c r="C5" s="12" t="s">
        <v>382</v>
      </c>
      <c r="D5" s="12" t="s">
        <v>26</v>
      </c>
      <c r="E5" s="12">
        <f t="shared" si="3"/>
        <v>43</v>
      </c>
      <c r="F5" s="14">
        <v>17.0</v>
      </c>
      <c r="G5" s="13"/>
      <c r="H5" s="14">
        <v>26.0</v>
      </c>
      <c r="I5" s="13"/>
      <c r="J5" s="13"/>
      <c r="K5" s="13"/>
    </row>
    <row r="6" ht="12.75" customHeight="1">
      <c r="A6" s="10" t="str">
        <f t="shared" si="1"/>
        <v/>
      </c>
      <c r="B6" s="11">
        <f t="shared" si="2"/>
        <v>3</v>
      </c>
      <c r="C6" s="12" t="s">
        <v>383</v>
      </c>
      <c r="D6" s="12" t="s">
        <v>128</v>
      </c>
      <c r="E6" s="12">
        <f t="shared" si="3"/>
        <v>26</v>
      </c>
      <c r="F6" s="13"/>
      <c r="G6" s="13"/>
      <c r="H6" s="13"/>
      <c r="I6" s="14">
        <v>26.0</v>
      </c>
      <c r="J6" s="13"/>
      <c r="K6" s="13"/>
    </row>
    <row r="7" ht="12.75" customHeight="1">
      <c r="A7" s="10" t="str">
        <f t="shared" si="1"/>
        <v>T</v>
      </c>
      <c r="B7" s="11">
        <f t="shared" si="2"/>
        <v>3</v>
      </c>
      <c r="C7" s="12" t="s">
        <v>127</v>
      </c>
      <c r="D7" s="12" t="s">
        <v>128</v>
      </c>
      <c r="E7" s="12">
        <f t="shared" si="3"/>
        <v>26</v>
      </c>
      <c r="F7" s="13"/>
      <c r="G7" s="13"/>
      <c r="H7" s="13"/>
      <c r="I7" s="14">
        <v>26.0</v>
      </c>
      <c r="J7" s="13"/>
      <c r="K7" s="13"/>
    </row>
    <row r="8" ht="12.75" customHeight="1">
      <c r="A8" s="10" t="str">
        <f t="shared" si="1"/>
        <v>T</v>
      </c>
      <c r="B8" s="11">
        <f t="shared" si="2"/>
        <v>3</v>
      </c>
      <c r="C8" s="16" t="s">
        <v>100</v>
      </c>
      <c r="D8" s="16" t="s">
        <v>49</v>
      </c>
      <c r="E8" s="12">
        <f t="shared" si="3"/>
        <v>26</v>
      </c>
      <c r="F8" s="13"/>
      <c r="G8" s="13"/>
      <c r="H8" s="13"/>
      <c r="I8" s="14"/>
      <c r="J8" s="14">
        <v>26.0</v>
      </c>
      <c r="K8" s="13"/>
    </row>
    <row r="9" ht="12.75" customHeight="1">
      <c r="A9" s="10" t="str">
        <f t="shared" si="1"/>
        <v>T</v>
      </c>
      <c r="B9" s="11">
        <f t="shared" si="2"/>
        <v>3</v>
      </c>
      <c r="C9" s="16" t="s">
        <v>384</v>
      </c>
      <c r="D9" s="16" t="s">
        <v>49</v>
      </c>
      <c r="E9" s="12">
        <f t="shared" si="3"/>
        <v>26</v>
      </c>
      <c r="F9" s="13"/>
      <c r="G9" s="13"/>
      <c r="H9" s="13"/>
      <c r="I9" s="14"/>
      <c r="J9" s="14">
        <v>26.0</v>
      </c>
      <c r="K9" s="13"/>
    </row>
    <row r="10" ht="12.75" customHeight="1">
      <c r="A10" s="10" t="str">
        <f t="shared" si="1"/>
        <v>T</v>
      </c>
      <c r="B10" s="11">
        <f t="shared" si="2"/>
        <v>3</v>
      </c>
      <c r="C10" s="16" t="s">
        <v>385</v>
      </c>
      <c r="D10" s="16" t="s">
        <v>114</v>
      </c>
      <c r="E10" s="12">
        <f t="shared" si="3"/>
        <v>26</v>
      </c>
      <c r="F10" s="13"/>
      <c r="G10" s="13"/>
      <c r="H10" s="13"/>
      <c r="I10" s="13"/>
      <c r="J10" s="13"/>
      <c r="K10" s="14">
        <v>26.0</v>
      </c>
    </row>
    <row r="11" ht="12.75" customHeight="1">
      <c r="A11" s="10" t="str">
        <f t="shared" si="1"/>
        <v>T</v>
      </c>
      <c r="B11" s="11">
        <f t="shared" si="2"/>
        <v>3</v>
      </c>
      <c r="C11" s="16" t="s">
        <v>386</v>
      </c>
      <c r="D11" s="16" t="s">
        <v>114</v>
      </c>
      <c r="E11" s="12">
        <f t="shared" si="3"/>
        <v>26</v>
      </c>
      <c r="F11" s="13"/>
      <c r="G11" s="13"/>
      <c r="H11" s="13"/>
      <c r="I11" s="13"/>
      <c r="J11" s="13"/>
      <c r="K11" s="14">
        <v>26.0</v>
      </c>
    </row>
    <row r="12" ht="12.75" customHeight="1">
      <c r="A12" s="10" t="str">
        <f t="shared" si="1"/>
        <v/>
      </c>
      <c r="B12" s="11">
        <f t="shared" si="2"/>
        <v>9</v>
      </c>
      <c r="C12" s="16" t="s">
        <v>171</v>
      </c>
      <c r="D12" s="16" t="s">
        <v>80</v>
      </c>
      <c r="E12" s="12">
        <f t="shared" si="3"/>
        <v>24</v>
      </c>
      <c r="F12" s="13"/>
      <c r="G12" s="14">
        <v>12.0</v>
      </c>
      <c r="H12" s="13"/>
      <c r="I12" s="14">
        <v>12.0</v>
      </c>
      <c r="J12" s="13"/>
      <c r="K12" s="13"/>
    </row>
    <row r="13" ht="12.75" customHeight="1">
      <c r="A13" s="10" t="str">
        <f t="shared" si="1"/>
        <v>T</v>
      </c>
      <c r="B13" s="11">
        <f t="shared" si="2"/>
        <v>9</v>
      </c>
      <c r="C13" s="16" t="s">
        <v>387</v>
      </c>
      <c r="D13" s="16" t="s">
        <v>80</v>
      </c>
      <c r="E13" s="12">
        <f t="shared" si="3"/>
        <v>24</v>
      </c>
      <c r="F13" s="13"/>
      <c r="G13" s="14">
        <v>12.0</v>
      </c>
      <c r="H13" s="13"/>
      <c r="I13" s="14">
        <v>12.0</v>
      </c>
      <c r="J13" s="13"/>
      <c r="K13" s="13"/>
    </row>
    <row r="14" ht="12.75" customHeight="1">
      <c r="A14" s="10" t="str">
        <f t="shared" si="1"/>
        <v>T</v>
      </c>
      <c r="B14" s="11">
        <f t="shared" si="2"/>
        <v>9</v>
      </c>
      <c r="C14" s="16" t="s">
        <v>148</v>
      </c>
      <c r="D14" s="12" t="s">
        <v>36</v>
      </c>
      <c r="E14" s="12">
        <f t="shared" si="3"/>
        <v>24</v>
      </c>
      <c r="F14" s="14">
        <v>12.0</v>
      </c>
      <c r="G14" s="13"/>
      <c r="H14" s="13"/>
      <c r="I14" s="13"/>
      <c r="J14" s="14">
        <v>12.0</v>
      </c>
      <c r="K14" s="13"/>
    </row>
    <row r="15" ht="12.75" customHeight="1">
      <c r="A15" s="10" t="str">
        <f t="shared" si="1"/>
        <v/>
      </c>
      <c r="B15" s="11">
        <f t="shared" si="2"/>
        <v>12</v>
      </c>
      <c r="C15" s="16" t="s">
        <v>373</v>
      </c>
      <c r="D15" s="16" t="s">
        <v>365</v>
      </c>
      <c r="E15" s="12">
        <f t="shared" si="3"/>
        <v>18</v>
      </c>
      <c r="F15" s="13"/>
      <c r="G15" s="13"/>
      <c r="H15" s="13"/>
      <c r="I15" s="14">
        <v>18.0</v>
      </c>
      <c r="J15" s="13"/>
      <c r="K15" s="13"/>
    </row>
    <row r="16" ht="12.75" customHeight="1">
      <c r="A16" s="10" t="str">
        <f t="shared" si="1"/>
        <v>T</v>
      </c>
      <c r="B16" s="11">
        <f t="shared" si="2"/>
        <v>12</v>
      </c>
      <c r="C16" s="16" t="s">
        <v>364</v>
      </c>
      <c r="D16" s="16" t="s">
        <v>365</v>
      </c>
      <c r="E16" s="12">
        <f t="shared" si="3"/>
        <v>18</v>
      </c>
      <c r="F16" s="13"/>
      <c r="G16" s="13"/>
      <c r="H16" s="13"/>
      <c r="I16" s="14">
        <v>18.0</v>
      </c>
      <c r="J16" s="13"/>
      <c r="K16" s="13"/>
    </row>
    <row r="17" ht="12.75" customHeight="1">
      <c r="A17" s="10" t="str">
        <f t="shared" si="1"/>
        <v>T</v>
      </c>
      <c r="B17" s="11">
        <f t="shared" si="2"/>
        <v>12</v>
      </c>
      <c r="C17" s="12" t="s">
        <v>108</v>
      </c>
      <c r="D17" s="12" t="s">
        <v>34</v>
      </c>
      <c r="E17" s="12">
        <f t="shared" si="3"/>
        <v>18</v>
      </c>
      <c r="F17" s="13"/>
      <c r="G17" s="13"/>
      <c r="H17" s="14">
        <v>18.0</v>
      </c>
      <c r="I17" s="13"/>
      <c r="J17" s="13"/>
      <c r="K17" s="13"/>
    </row>
    <row r="18" ht="12.75" customHeight="1">
      <c r="A18" s="10" t="str">
        <f t="shared" si="1"/>
        <v>T</v>
      </c>
      <c r="B18" s="11">
        <f t="shared" si="2"/>
        <v>12</v>
      </c>
      <c r="C18" s="12" t="s">
        <v>388</v>
      </c>
      <c r="D18" s="12" t="s">
        <v>34</v>
      </c>
      <c r="E18" s="12">
        <f t="shared" si="3"/>
        <v>18</v>
      </c>
      <c r="F18" s="13"/>
      <c r="G18" s="13"/>
      <c r="H18" s="14">
        <v>18.0</v>
      </c>
      <c r="I18" s="13"/>
      <c r="J18" s="13"/>
      <c r="K18" s="13"/>
    </row>
    <row r="19" ht="12.75" customHeight="1">
      <c r="A19" s="10" t="str">
        <f t="shared" si="1"/>
        <v>T</v>
      </c>
      <c r="B19" s="11">
        <f t="shared" si="2"/>
        <v>12</v>
      </c>
      <c r="C19" s="16" t="s">
        <v>357</v>
      </c>
      <c r="D19" s="12" t="s">
        <v>70</v>
      </c>
      <c r="E19" s="12">
        <f t="shared" si="3"/>
        <v>18</v>
      </c>
      <c r="F19" s="13"/>
      <c r="G19" s="13"/>
      <c r="H19" s="13"/>
      <c r="I19" s="13"/>
      <c r="J19" s="14">
        <v>18.0</v>
      </c>
      <c r="K19" s="13"/>
    </row>
    <row r="20" ht="12.75" customHeight="1">
      <c r="A20" s="10" t="str">
        <f t="shared" si="1"/>
        <v>T</v>
      </c>
      <c r="B20" s="11">
        <f t="shared" si="2"/>
        <v>12</v>
      </c>
      <c r="C20" s="16" t="s">
        <v>389</v>
      </c>
      <c r="D20" s="87" t="s">
        <v>390</v>
      </c>
      <c r="E20" s="12">
        <f t="shared" si="3"/>
        <v>18</v>
      </c>
      <c r="F20" s="13"/>
      <c r="G20" s="13"/>
      <c r="H20" s="13"/>
      <c r="I20" s="13"/>
      <c r="J20" s="14">
        <v>18.0</v>
      </c>
      <c r="K20" s="13"/>
    </row>
    <row r="21" ht="12.75" customHeight="1">
      <c r="A21" s="10" t="str">
        <f t="shared" si="1"/>
        <v>T</v>
      </c>
      <c r="B21" s="11">
        <f t="shared" si="2"/>
        <v>12</v>
      </c>
      <c r="C21" s="16" t="s">
        <v>391</v>
      </c>
      <c r="D21" s="16" t="s">
        <v>392</v>
      </c>
      <c r="E21" s="12">
        <f t="shared" si="3"/>
        <v>18</v>
      </c>
      <c r="F21" s="13"/>
      <c r="G21" s="13"/>
      <c r="H21" s="13"/>
      <c r="I21" s="13"/>
      <c r="J21" s="13"/>
      <c r="K21" s="14">
        <v>18.0</v>
      </c>
    </row>
    <row r="22" ht="12.75" customHeight="1">
      <c r="A22" s="10" t="str">
        <f t="shared" si="1"/>
        <v>T</v>
      </c>
      <c r="B22" s="11">
        <f t="shared" si="2"/>
        <v>12</v>
      </c>
      <c r="C22" s="16" t="s">
        <v>393</v>
      </c>
      <c r="D22" s="16" t="s">
        <v>394</v>
      </c>
      <c r="E22" s="12">
        <f t="shared" si="3"/>
        <v>18</v>
      </c>
      <c r="F22" s="13"/>
      <c r="G22" s="13"/>
      <c r="H22" s="13"/>
      <c r="I22" s="13"/>
      <c r="J22" s="13"/>
      <c r="K22" s="14">
        <v>18.0</v>
      </c>
    </row>
    <row r="23" ht="12.75" customHeight="1">
      <c r="A23" s="10" t="str">
        <f t="shared" si="1"/>
        <v/>
      </c>
      <c r="B23" s="11">
        <f t="shared" si="2"/>
        <v>20</v>
      </c>
      <c r="C23" s="12" t="s">
        <v>277</v>
      </c>
      <c r="D23" s="12" t="s">
        <v>179</v>
      </c>
      <c r="E23" s="12">
        <f t="shared" si="3"/>
        <v>17</v>
      </c>
      <c r="F23" s="13"/>
      <c r="G23" s="14">
        <v>17.0</v>
      </c>
      <c r="H23" s="13"/>
      <c r="I23" s="13"/>
      <c r="J23" s="13"/>
      <c r="K23" s="13"/>
    </row>
    <row r="24" ht="12.75" customHeight="1">
      <c r="A24" s="10" t="str">
        <f t="shared" si="1"/>
        <v>T</v>
      </c>
      <c r="B24" s="11">
        <f t="shared" si="2"/>
        <v>20</v>
      </c>
      <c r="C24" s="16" t="s">
        <v>395</v>
      </c>
      <c r="D24" s="12" t="s">
        <v>179</v>
      </c>
      <c r="E24" s="12">
        <f t="shared" si="3"/>
        <v>17</v>
      </c>
      <c r="F24" s="13"/>
      <c r="G24" s="14">
        <v>17.0</v>
      </c>
      <c r="H24" s="13"/>
      <c r="I24" s="13"/>
      <c r="J24" s="13"/>
      <c r="K24" s="13"/>
    </row>
    <row r="25" ht="12.75" customHeight="1">
      <c r="A25" s="10" t="str">
        <f t="shared" si="1"/>
        <v/>
      </c>
      <c r="B25" s="11">
        <f t="shared" si="2"/>
        <v>22</v>
      </c>
      <c r="C25" s="16" t="s">
        <v>396</v>
      </c>
      <c r="D25" s="16" t="s">
        <v>117</v>
      </c>
      <c r="E25" s="12">
        <f t="shared" si="3"/>
        <v>12</v>
      </c>
      <c r="F25" s="13"/>
      <c r="G25" s="13"/>
      <c r="H25" s="13"/>
      <c r="I25" s="13"/>
      <c r="J25" s="13"/>
      <c r="K25" s="14">
        <v>12.0</v>
      </c>
    </row>
    <row r="26" ht="12.75" customHeight="1">
      <c r="A26" s="10" t="str">
        <f t="shared" si="1"/>
        <v>T</v>
      </c>
      <c r="B26" s="11">
        <f t="shared" si="2"/>
        <v>22</v>
      </c>
      <c r="C26" s="16" t="s">
        <v>397</v>
      </c>
      <c r="D26" s="16" t="s">
        <v>117</v>
      </c>
      <c r="E26" s="12">
        <f t="shared" si="3"/>
        <v>12</v>
      </c>
      <c r="F26" s="13"/>
      <c r="G26" s="13"/>
      <c r="H26" s="13"/>
      <c r="I26" s="13"/>
      <c r="J26" s="13"/>
      <c r="K26" s="14">
        <v>12.0</v>
      </c>
    </row>
    <row r="27" ht="12.75" customHeight="1">
      <c r="A27" s="10" t="str">
        <f t="shared" si="1"/>
        <v>T</v>
      </c>
      <c r="B27" s="11">
        <f t="shared" si="2"/>
        <v>22</v>
      </c>
      <c r="C27" s="16" t="s">
        <v>398</v>
      </c>
      <c r="D27" s="16" t="s">
        <v>399</v>
      </c>
      <c r="E27" s="12">
        <f t="shared" si="3"/>
        <v>12</v>
      </c>
      <c r="F27" s="13"/>
      <c r="G27" s="13"/>
      <c r="H27" s="14">
        <v>12.0</v>
      </c>
      <c r="I27" s="13"/>
      <c r="J27" s="13"/>
      <c r="K27" s="13"/>
    </row>
    <row r="28" ht="12.75" customHeight="1">
      <c r="A28" s="10" t="str">
        <f t="shared" si="1"/>
        <v>T</v>
      </c>
      <c r="B28" s="11">
        <f t="shared" si="2"/>
        <v>22</v>
      </c>
      <c r="C28" s="12" t="s">
        <v>400</v>
      </c>
      <c r="D28" s="12" t="s">
        <v>34</v>
      </c>
      <c r="E28" s="12">
        <f t="shared" si="3"/>
        <v>12</v>
      </c>
      <c r="F28" s="13"/>
      <c r="G28" s="13"/>
      <c r="H28" s="14">
        <v>12.0</v>
      </c>
      <c r="I28" s="13"/>
      <c r="J28" s="13"/>
      <c r="K28" s="13"/>
    </row>
    <row r="29" ht="12.75" customHeight="1">
      <c r="A29" s="10" t="str">
        <f t="shared" si="1"/>
        <v>T</v>
      </c>
      <c r="B29" s="11">
        <f t="shared" si="2"/>
        <v>22</v>
      </c>
      <c r="C29" s="12" t="s">
        <v>401</v>
      </c>
      <c r="D29" s="12" t="s">
        <v>45</v>
      </c>
      <c r="E29" s="12">
        <f t="shared" si="3"/>
        <v>12</v>
      </c>
      <c r="F29" s="14">
        <v>12.0</v>
      </c>
      <c r="G29" s="13"/>
      <c r="H29" s="13"/>
      <c r="I29" s="13"/>
      <c r="J29" s="13"/>
      <c r="K29" s="13"/>
    </row>
    <row r="30" ht="12.75" customHeight="1">
      <c r="A30" s="10" t="str">
        <f t="shared" si="1"/>
        <v>T</v>
      </c>
      <c r="B30" s="11">
        <f t="shared" si="2"/>
        <v>22</v>
      </c>
      <c r="C30" s="16" t="s">
        <v>162</v>
      </c>
      <c r="D30" s="12" t="s">
        <v>179</v>
      </c>
      <c r="E30" s="12">
        <f t="shared" si="3"/>
        <v>12</v>
      </c>
      <c r="F30" s="13"/>
      <c r="G30" s="13"/>
      <c r="H30" s="13"/>
      <c r="I30" s="13"/>
      <c r="J30" s="13"/>
      <c r="K30" s="14">
        <v>12.0</v>
      </c>
    </row>
    <row r="31" ht="12.75" customHeight="1">
      <c r="A31" s="10" t="str">
        <f t="shared" si="1"/>
        <v>T</v>
      </c>
      <c r="B31" s="11">
        <f t="shared" si="2"/>
        <v>22</v>
      </c>
      <c r="C31" s="16" t="s">
        <v>98</v>
      </c>
      <c r="D31" s="12" t="s">
        <v>179</v>
      </c>
      <c r="E31" s="12">
        <f t="shared" si="3"/>
        <v>12</v>
      </c>
      <c r="F31" s="13"/>
      <c r="G31" s="13"/>
      <c r="H31" s="13"/>
      <c r="I31" s="13"/>
      <c r="J31" s="13"/>
      <c r="K31" s="14">
        <v>12.0</v>
      </c>
    </row>
    <row r="32" ht="12.75" customHeight="1">
      <c r="A32" s="10" t="str">
        <f t="shared" si="1"/>
        <v>T</v>
      </c>
      <c r="B32" s="11">
        <f t="shared" si="2"/>
        <v>22</v>
      </c>
      <c r="C32" s="59" t="s">
        <v>300</v>
      </c>
      <c r="D32" s="59" t="s">
        <v>36</v>
      </c>
      <c r="E32" s="12">
        <f t="shared" si="3"/>
        <v>12</v>
      </c>
      <c r="F32" s="13"/>
      <c r="G32" s="13"/>
      <c r="H32" s="14">
        <v>12.0</v>
      </c>
      <c r="I32" s="13"/>
      <c r="J32" s="13"/>
      <c r="K32" s="13"/>
    </row>
    <row r="33" ht="12.75" customHeight="1">
      <c r="A33" s="10" t="str">
        <f t="shared" si="1"/>
        <v>T</v>
      </c>
      <c r="B33" s="11">
        <f t="shared" si="2"/>
        <v>22</v>
      </c>
      <c r="C33" s="12" t="s">
        <v>353</v>
      </c>
      <c r="D33" s="12" t="s">
        <v>318</v>
      </c>
      <c r="E33" s="12">
        <f t="shared" si="3"/>
        <v>12</v>
      </c>
      <c r="F33" s="13"/>
      <c r="G33" s="13"/>
      <c r="H33" s="14">
        <v>12.0</v>
      </c>
      <c r="I33" s="13"/>
      <c r="J33" s="13"/>
      <c r="K33" s="13"/>
    </row>
    <row r="34" ht="12.75" customHeight="1">
      <c r="A34" s="10" t="str">
        <f t="shared" si="1"/>
        <v>T</v>
      </c>
      <c r="B34" s="11">
        <f t="shared" si="2"/>
        <v>22</v>
      </c>
      <c r="C34" s="16" t="s">
        <v>402</v>
      </c>
      <c r="D34" s="16" t="s">
        <v>392</v>
      </c>
      <c r="E34" s="12">
        <f t="shared" si="3"/>
        <v>12</v>
      </c>
      <c r="F34" s="13"/>
      <c r="G34" s="13"/>
      <c r="H34" s="13"/>
      <c r="I34" s="14">
        <v>12.0</v>
      </c>
      <c r="J34" s="13"/>
      <c r="K34" s="13"/>
    </row>
    <row r="35" ht="12.75" customHeight="1">
      <c r="A35" s="10" t="str">
        <f t="shared" si="1"/>
        <v>T</v>
      </c>
      <c r="B35" s="11">
        <f t="shared" si="2"/>
        <v>22</v>
      </c>
      <c r="C35" s="16" t="s">
        <v>136</v>
      </c>
      <c r="D35" s="16" t="s">
        <v>392</v>
      </c>
      <c r="E35" s="12">
        <f t="shared" si="3"/>
        <v>12</v>
      </c>
      <c r="F35" s="13"/>
      <c r="G35" s="13"/>
      <c r="H35" s="13"/>
      <c r="I35" s="14">
        <v>12.0</v>
      </c>
      <c r="J35" s="13"/>
      <c r="K35" s="13"/>
    </row>
    <row r="36" ht="12.75" customHeight="1">
      <c r="A36" s="10" t="str">
        <f t="shared" si="1"/>
        <v>T</v>
      </c>
      <c r="B36" s="11">
        <f t="shared" si="2"/>
        <v>22</v>
      </c>
      <c r="C36" s="16" t="s">
        <v>403</v>
      </c>
      <c r="D36" s="16" t="s">
        <v>87</v>
      </c>
      <c r="E36" s="12">
        <f t="shared" si="3"/>
        <v>12</v>
      </c>
      <c r="F36" s="13"/>
      <c r="G36" s="13"/>
      <c r="H36" s="13"/>
      <c r="I36" s="13"/>
      <c r="J36" s="14">
        <v>12.0</v>
      </c>
      <c r="K36" s="13"/>
    </row>
    <row r="37" ht="12.75" customHeight="1">
      <c r="A37" s="10" t="str">
        <f t="shared" si="1"/>
        <v>T</v>
      </c>
      <c r="B37" s="11">
        <f t="shared" si="2"/>
        <v>22</v>
      </c>
      <c r="C37" s="16" t="s">
        <v>404</v>
      </c>
      <c r="D37" s="16" t="s">
        <v>36</v>
      </c>
      <c r="E37" s="12">
        <f t="shared" si="3"/>
        <v>12</v>
      </c>
      <c r="F37" s="13"/>
      <c r="G37" s="13"/>
      <c r="H37" s="13"/>
      <c r="I37" s="13"/>
      <c r="J37" s="14">
        <v>12.0</v>
      </c>
      <c r="K37" s="13"/>
    </row>
    <row r="38" ht="12.75" customHeight="1">
      <c r="A38" s="10" t="str">
        <f t="shared" si="1"/>
        <v>T</v>
      </c>
      <c r="B38" s="11">
        <f t="shared" si="2"/>
        <v>22</v>
      </c>
      <c r="C38" s="16" t="s">
        <v>167</v>
      </c>
      <c r="D38" s="16" t="s">
        <v>53</v>
      </c>
      <c r="E38" s="12">
        <f t="shared" si="3"/>
        <v>12</v>
      </c>
      <c r="F38" s="13"/>
      <c r="G38" s="13"/>
      <c r="H38" s="13"/>
      <c r="I38" s="13"/>
      <c r="J38" s="14">
        <v>12.0</v>
      </c>
      <c r="K38" s="13"/>
    </row>
    <row r="39" ht="12.75" customHeight="1">
      <c r="A39" s="10"/>
      <c r="B39" s="11"/>
      <c r="C39" s="12"/>
      <c r="D39" s="12"/>
      <c r="E39" s="12"/>
      <c r="F39" s="13"/>
      <c r="G39" s="13"/>
      <c r="H39" s="13"/>
      <c r="I39" s="13"/>
      <c r="J39" s="13"/>
      <c r="K39" s="13"/>
    </row>
    <row r="40" ht="12.75" customHeight="1">
      <c r="A40" s="10"/>
      <c r="B40" s="11"/>
      <c r="C40" s="12"/>
      <c r="D40" s="12"/>
      <c r="E40" s="12"/>
      <c r="F40" s="13"/>
      <c r="G40" s="13"/>
      <c r="H40" s="13"/>
      <c r="I40" s="13"/>
      <c r="J40" s="13"/>
      <c r="K40" s="13"/>
    </row>
    <row r="41" ht="12.75" customHeight="1">
      <c r="A41" s="10"/>
      <c r="B41" s="11"/>
      <c r="C41" s="12"/>
      <c r="D41" s="12"/>
      <c r="E41" s="12"/>
      <c r="F41" s="13"/>
      <c r="G41" s="13"/>
      <c r="H41" s="13"/>
      <c r="I41" s="13"/>
      <c r="J41" s="13"/>
      <c r="K41" s="13"/>
    </row>
    <row r="42" ht="12.75" customHeight="1">
      <c r="A42" s="10"/>
      <c r="B42" s="11"/>
      <c r="C42" s="12"/>
      <c r="D42" s="12"/>
      <c r="E42" s="12"/>
      <c r="F42" s="13"/>
      <c r="G42" s="13"/>
      <c r="H42" s="13"/>
      <c r="I42" s="13"/>
      <c r="J42" s="13"/>
      <c r="K42" s="13"/>
    </row>
    <row r="43" ht="12.0" customHeight="1">
      <c r="A43" s="10"/>
      <c r="B43" s="11"/>
      <c r="C43" s="12"/>
      <c r="D43" s="12"/>
      <c r="E43" s="12"/>
      <c r="F43" s="13"/>
      <c r="G43" s="13"/>
      <c r="H43" s="13"/>
      <c r="I43" s="13"/>
      <c r="J43" s="13"/>
      <c r="K43" s="13"/>
    </row>
    <row r="44" ht="12.0" customHeight="1">
      <c r="A44" s="10"/>
      <c r="B44" s="11"/>
      <c r="C44" s="12"/>
      <c r="D44" s="12"/>
      <c r="E44" s="12"/>
      <c r="F44" s="13"/>
      <c r="G44" s="13"/>
      <c r="H44" s="13"/>
      <c r="I44" s="13"/>
      <c r="J44" s="13"/>
      <c r="K44" s="13"/>
    </row>
    <row r="45" ht="12.0" customHeight="1">
      <c r="A45" s="10"/>
      <c r="B45" s="11"/>
      <c r="C45" s="12"/>
      <c r="D45" s="12"/>
      <c r="E45" s="12"/>
      <c r="F45" s="13"/>
      <c r="G45" s="13"/>
      <c r="H45" s="13"/>
      <c r="I45" s="13"/>
      <c r="J45" s="13"/>
      <c r="K45" s="13"/>
    </row>
    <row r="46" ht="12.0" customHeight="1">
      <c r="A46" s="10"/>
      <c r="B46" s="11"/>
      <c r="C46" s="12"/>
      <c r="D46" s="12"/>
      <c r="E46" s="12"/>
      <c r="F46" s="13"/>
      <c r="G46" s="13"/>
      <c r="H46" s="13"/>
      <c r="I46" s="13"/>
      <c r="J46" s="13"/>
      <c r="K46" s="13"/>
    </row>
    <row r="47" ht="12.0" customHeight="1">
      <c r="A47" s="10"/>
      <c r="B47" s="11"/>
      <c r="C47" s="12"/>
      <c r="D47" s="12"/>
      <c r="E47" s="12"/>
      <c r="F47" s="13"/>
      <c r="G47" s="13"/>
      <c r="H47" s="13"/>
      <c r="I47" s="13"/>
      <c r="J47" s="13"/>
      <c r="K47" s="13"/>
    </row>
    <row r="48" ht="12.0" customHeight="1">
      <c r="A48" s="10"/>
      <c r="B48" s="11"/>
      <c r="C48" s="12"/>
      <c r="D48" s="12"/>
      <c r="E48" s="12"/>
      <c r="F48" s="13"/>
      <c r="G48" s="13"/>
      <c r="H48" s="13"/>
      <c r="I48" s="13"/>
      <c r="J48" s="13"/>
      <c r="K48" s="13"/>
    </row>
    <row r="49" ht="12.0" customHeight="1">
      <c r="A49" s="10"/>
      <c r="B49" s="11"/>
      <c r="C49" s="12"/>
      <c r="D49" s="12"/>
      <c r="E49" s="12"/>
      <c r="F49" s="13"/>
      <c r="G49" s="13"/>
      <c r="H49" s="13"/>
      <c r="I49" s="13"/>
      <c r="J49" s="13"/>
      <c r="K49" s="13"/>
    </row>
    <row r="50" ht="12.0" customHeight="1">
      <c r="A50" s="10"/>
      <c r="B50" s="11"/>
      <c r="C50" s="12"/>
      <c r="D50" s="12"/>
      <c r="E50" s="12"/>
      <c r="F50" s="13"/>
      <c r="G50" s="13"/>
      <c r="H50" s="13"/>
      <c r="I50" s="13"/>
      <c r="J50" s="13"/>
      <c r="K50" s="13"/>
    </row>
    <row r="51" ht="12.75" customHeight="1"/>
    <row r="52" ht="12.75" customHeight="1">
      <c r="A52" s="19" t="s">
        <v>137</v>
      </c>
      <c r="B52" s="20"/>
      <c r="C52" s="21" t="s">
        <v>138</v>
      </c>
      <c r="D52" s="22"/>
      <c r="E52" s="22"/>
      <c r="F52" s="22"/>
      <c r="G52" s="22"/>
      <c r="H52" s="22"/>
      <c r="I52" s="22"/>
      <c r="J52" s="22"/>
      <c r="K52" s="23"/>
    </row>
    <row r="53" ht="12.75" customHeight="1">
      <c r="A53" s="19" t="s">
        <v>137</v>
      </c>
      <c r="B53" s="24"/>
      <c r="C53" s="25" t="s">
        <v>139</v>
      </c>
      <c r="D53" s="22"/>
      <c r="E53" s="22"/>
      <c r="F53" s="22"/>
      <c r="G53" s="22"/>
      <c r="H53" s="22"/>
      <c r="I53" s="22"/>
      <c r="J53" s="22"/>
      <c r="K53" s="23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2:K2"/>
    <mergeCell ref="A3:B3"/>
    <mergeCell ref="C52:K52"/>
    <mergeCell ref="C53:K53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.88"/>
    <col customWidth="1" min="3" max="3" width="14.38"/>
    <col customWidth="1" min="4" max="4" width="16.0"/>
    <col customWidth="1" min="5" max="5" width="5.25"/>
    <col customWidth="1" min="6" max="7" width="7.13"/>
    <col customWidth="1" min="8" max="8" width="5.25"/>
    <col customWidth="1" min="9" max="12" width="7.13"/>
    <col customWidth="1" min="13" max="13" width="6.13"/>
    <col customWidth="1" min="14" max="15" width="8.0"/>
  </cols>
  <sheetData>
    <row r="1" ht="16.5" customHeight="1">
      <c r="B1" s="26" t="s">
        <v>405</v>
      </c>
      <c r="C1" s="95"/>
      <c r="D1" s="95"/>
      <c r="E1" s="95"/>
      <c r="F1" s="95"/>
    </row>
    <row r="2" ht="12.75" customHeight="1">
      <c r="A2" s="27"/>
      <c r="B2" s="28"/>
      <c r="C2" s="28"/>
      <c r="D2" s="5"/>
      <c r="E2" s="5"/>
      <c r="F2" s="42" t="s">
        <v>141</v>
      </c>
      <c r="G2" s="34"/>
      <c r="H2" s="34"/>
      <c r="I2" s="34"/>
      <c r="J2" s="34"/>
      <c r="K2" s="34"/>
      <c r="L2" s="34"/>
      <c r="M2" s="35"/>
    </row>
    <row r="3" ht="12.75" customHeight="1">
      <c r="A3" s="30" t="s">
        <v>1</v>
      </c>
      <c r="B3" s="31"/>
      <c r="C3" s="96" t="s">
        <v>2</v>
      </c>
      <c r="D3" s="32" t="s">
        <v>3</v>
      </c>
      <c r="E3" s="32" t="s">
        <v>4</v>
      </c>
      <c r="F3" s="7" t="s">
        <v>7</v>
      </c>
      <c r="G3" s="29" t="s">
        <v>9</v>
      </c>
      <c r="H3" s="29" t="s">
        <v>12</v>
      </c>
      <c r="I3" s="97" t="s">
        <v>13</v>
      </c>
      <c r="J3" s="29" t="s">
        <v>14</v>
      </c>
      <c r="K3" s="44" t="s">
        <v>15</v>
      </c>
      <c r="L3" s="97"/>
      <c r="M3" s="29"/>
    </row>
    <row r="4" ht="12.75" customHeight="1">
      <c r="A4" s="10" t="str">
        <f t="shared" ref="A4:A14" si="1">IF(B4=B3,"T","")</f>
        <v/>
      </c>
      <c r="B4" s="11">
        <f t="shared" ref="B4:B24" si="2">RANK(E4,$E$4:$E$27,0)</f>
        <v>1</v>
      </c>
      <c r="C4" s="98" t="s">
        <v>406</v>
      </c>
      <c r="D4" s="99" t="s">
        <v>407</v>
      </c>
      <c r="E4" s="100">
        <f t="shared" ref="E4:E24" si="3">SUM(F4:M4)</f>
        <v>189</v>
      </c>
      <c r="F4" s="13"/>
      <c r="G4" s="101">
        <v>63.0</v>
      </c>
      <c r="H4" s="101">
        <v>63.0</v>
      </c>
      <c r="I4" s="102"/>
      <c r="J4" s="102"/>
      <c r="K4" s="99">
        <v>63.0</v>
      </c>
      <c r="L4" s="100"/>
      <c r="M4" s="100"/>
    </row>
    <row r="5" ht="12.75" customHeight="1">
      <c r="A5" s="10" t="str">
        <f t="shared" si="1"/>
        <v/>
      </c>
      <c r="B5" s="11">
        <f t="shared" si="2"/>
        <v>2</v>
      </c>
      <c r="C5" s="100" t="s">
        <v>408</v>
      </c>
      <c r="D5" s="99" t="s">
        <v>32</v>
      </c>
      <c r="E5" s="100">
        <f t="shared" si="3"/>
        <v>99</v>
      </c>
      <c r="F5" s="14">
        <v>26.0</v>
      </c>
      <c r="G5" s="102"/>
      <c r="H5" s="102"/>
      <c r="I5" s="101">
        <v>32.0</v>
      </c>
      <c r="J5" s="102"/>
      <c r="K5" s="99">
        <v>41.0</v>
      </c>
      <c r="L5" s="100"/>
      <c r="M5" s="100"/>
    </row>
    <row r="6" ht="12.75" customHeight="1">
      <c r="A6" s="10" t="str">
        <f t="shared" si="1"/>
        <v/>
      </c>
      <c r="B6" s="11">
        <f t="shared" si="2"/>
        <v>3</v>
      </c>
      <c r="C6" s="99" t="s">
        <v>409</v>
      </c>
      <c r="D6" s="99" t="s">
        <v>34</v>
      </c>
      <c r="E6" s="100">
        <f t="shared" si="3"/>
        <v>64</v>
      </c>
      <c r="F6" s="102"/>
      <c r="G6" s="101">
        <v>23.0</v>
      </c>
      <c r="H6" s="101">
        <v>41.0</v>
      </c>
      <c r="I6" s="102"/>
      <c r="J6" s="102"/>
      <c r="K6" s="100"/>
      <c r="L6" s="100"/>
      <c r="M6" s="100"/>
    </row>
    <row r="7" ht="12.75" customHeight="1">
      <c r="A7" s="10" t="str">
        <f t="shared" si="1"/>
        <v/>
      </c>
      <c r="B7" s="11">
        <f t="shared" si="2"/>
        <v>4</v>
      </c>
      <c r="C7" s="100" t="s">
        <v>410</v>
      </c>
      <c r="D7" s="100" t="s">
        <v>111</v>
      </c>
      <c r="E7" s="100">
        <f t="shared" si="3"/>
        <v>59</v>
      </c>
      <c r="F7" s="13"/>
      <c r="G7" s="102"/>
      <c r="H7" s="101">
        <v>23.0</v>
      </c>
      <c r="I7" s="101">
        <v>22.0</v>
      </c>
      <c r="J7" s="102"/>
      <c r="K7" s="99">
        <v>14.0</v>
      </c>
      <c r="L7" s="100"/>
      <c r="M7" s="100"/>
    </row>
    <row r="8" ht="12.75" customHeight="1">
      <c r="A8" s="10" t="str">
        <f t="shared" si="1"/>
        <v/>
      </c>
      <c r="B8" s="11">
        <f t="shared" si="2"/>
        <v>5</v>
      </c>
      <c r="C8" s="100" t="s">
        <v>411</v>
      </c>
      <c r="D8" s="100" t="s">
        <v>32</v>
      </c>
      <c r="E8" s="100">
        <f t="shared" si="3"/>
        <v>41</v>
      </c>
      <c r="F8" s="13"/>
      <c r="G8" s="101">
        <v>41.0</v>
      </c>
      <c r="H8" s="102"/>
      <c r="I8" s="102"/>
      <c r="J8" s="102"/>
      <c r="K8" s="100"/>
      <c r="L8" s="100"/>
      <c r="M8" s="100"/>
    </row>
    <row r="9" ht="12.75" customHeight="1">
      <c r="A9" s="10" t="str">
        <f t="shared" si="1"/>
        <v>T</v>
      </c>
      <c r="B9" s="11">
        <f t="shared" si="2"/>
        <v>5</v>
      </c>
      <c r="C9" s="99" t="s">
        <v>412</v>
      </c>
      <c r="D9" s="100" t="s">
        <v>413</v>
      </c>
      <c r="E9" s="100">
        <f t="shared" si="3"/>
        <v>41</v>
      </c>
      <c r="F9" s="13"/>
      <c r="G9" s="102">
        <v>41.0</v>
      </c>
      <c r="H9" s="102"/>
      <c r="I9" s="102"/>
      <c r="J9" s="102"/>
      <c r="K9" s="100"/>
      <c r="L9" s="100"/>
      <c r="M9" s="100"/>
    </row>
    <row r="10" ht="12.75" customHeight="1">
      <c r="A10" s="10" t="str">
        <f t="shared" si="1"/>
        <v/>
      </c>
      <c r="B10" s="11">
        <f t="shared" si="2"/>
        <v>7</v>
      </c>
      <c r="C10" s="100" t="s">
        <v>414</v>
      </c>
      <c r="D10" s="100" t="s">
        <v>265</v>
      </c>
      <c r="E10" s="100">
        <f t="shared" si="3"/>
        <v>32</v>
      </c>
      <c r="F10" s="13"/>
      <c r="G10" s="102"/>
      <c r="H10" s="102"/>
      <c r="I10" s="102"/>
      <c r="J10" s="101">
        <v>32.0</v>
      </c>
      <c r="K10" s="100"/>
      <c r="L10" s="100"/>
      <c r="M10" s="100"/>
    </row>
    <row r="11" ht="12.75" customHeight="1">
      <c r="A11" s="10" t="str">
        <f t="shared" si="1"/>
        <v/>
      </c>
      <c r="B11" s="11">
        <f t="shared" si="2"/>
        <v>8</v>
      </c>
      <c r="C11" s="100" t="s">
        <v>415</v>
      </c>
      <c r="D11" s="100" t="s">
        <v>63</v>
      </c>
      <c r="E11" s="100">
        <f t="shared" si="3"/>
        <v>28</v>
      </c>
      <c r="F11" s="13"/>
      <c r="G11" s="102"/>
      <c r="H11" s="102"/>
      <c r="I11" s="101">
        <v>14.0</v>
      </c>
      <c r="J11" s="101"/>
      <c r="K11" s="99">
        <v>14.0</v>
      </c>
      <c r="L11" s="100"/>
      <c r="M11" s="100"/>
    </row>
    <row r="12" ht="12.75" customHeight="1">
      <c r="A12" s="10" t="str">
        <f t="shared" si="1"/>
        <v/>
      </c>
      <c r="B12" s="11">
        <f t="shared" si="2"/>
        <v>9</v>
      </c>
      <c r="C12" s="100" t="s">
        <v>416</v>
      </c>
      <c r="D12" s="100" t="s">
        <v>417</v>
      </c>
      <c r="E12" s="100">
        <f t="shared" si="3"/>
        <v>23</v>
      </c>
      <c r="F12" s="13"/>
      <c r="G12" s="101">
        <v>23.0</v>
      </c>
      <c r="H12" s="102"/>
      <c r="I12" s="102"/>
      <c r="J12" s="102"/>
      <c r="K12" s="100"/>
      <c r="L12" s="100"/>
      <c r="M12" s="100"/>
    </row>
    <row r="13" ht="12.75" customHeight="1">
      <c r="A13" s="10" t="str">
        <f t="shared" si="1"/>
        <v>T</v>
      </c>
      <c r="B13" s="11">
        <f t="shared" si="2"/>
        <v>9</v>
      </c>
      <c r="C13" s="99" t="s">
        <v>418</v>
      </c>
      <c r="D13" s="99" t="s">
        <v>419</v>
      </c>
      <c r="E13" s="100">
        <f t="shared" si="3"/>
        <v>23</v>
      </c>
      <c r="F13" s="13"/>
      <c r="G13" s="102"/>
      <c r="H13" s="102"/>
      <c r="I13" s="102"/>
      <c r="J13" s="102"/>
      <c r="K13" s="99">
        <v>23.0</v>
      </c>
      <c r="L13" s="100"/>
      <c r="M13" s="100"/>
    </row>
    <row r="14" ht="12.75" customHeight="1">
      <c r="A14" s="10" t="str">
        <f t="shared" si="1"/>
        <v/>
      </c>
      <c r="B14" s="11">
        <f t="shared" si="2"/>
        <v>11</v>
      </c>
      <c r="C14" s="99" t="s">
        <v>420</v>
      </c>
      <c r="D14" s="100" t="s">
        <v>265</v>
      </c>
      <c r="E14" s="100">
        <f t="shared" si="3"/>
        <v>22</v>
      </c>
      <c r="F14" s="13"/>
      <c r="G14" s="102"/>
      <c r="H14" s="102"/>
      <c r="I14" s="102"/>
      <c r="J14" s="101">
        <v>22.0</v>
      </c>
      <c r="K14" s="100"/>
      <c r="L14" s="100"/>
      <c r="M14" s="100"/>
    </row>
    <row r="15" ht="12.75" customHeight="1">
      <c r="A15" s="10"/>
      <c r="B15" s="11">
        <f t="shared" si="2"/>
        <v>12</v>
      </c>
      <c r="C15" s="99" t="s">
        <v>421</v>
      </c>
      <c r="D15" s="99" t="s">
        <v>128</v>
      </c>
      <c r="E15" s="100">
        <f t="shared" si="3"/>
        <v>18</v>
      </c>
      <c r="F15" s="14">
        <v>18.0</v>
      </c>
      <c r="G15" s="102"/>
      <c r="H15" s="102"/>
      <c r="I15" s="102"/>
      <c r="J15" s="102"/>
      <c r="K15" s="100"/>
      <c r="L15" s="100"/>
      <c r="M15" s="100"/>
    </row>
    <row r="16" ht="12.75" customHeight="1">
      <c r="A16" s="10" t="str">
        <f t="shared" ref="A16:A24" si="4">IF(B16=B15,"T","")</f>
        <v/>
      </c>
      <c r="B16" s="11">
        <f t="shared" si="2"/>
        <v>13</v>
      </c>
      <c r="C16" s="99" t="s">
        <v>422</v>
      </c>
      <c r="D16" s="100" t="s">
        <v>265</v>
      </c>
      <c r="E16" s="100">
        <f t="shared" si="3"/>
        <v>14</v>
      </c>
      <c r="F16" s="13"/>
      <c r="G16" s="102"/>
      <c r="H16" s="102"/>
      <c r="I16" s="102"/>
      <c r="J16" s="101">
        <v>14.0</v>
      </c>
      <c r="K16" s="100"/>
      <c r="L16" s="100"/>
      <c r="M16" s="100"/>
    </row>
    <row r="17" ht="12.75" customHeight="1">
      <c r="A17" s="10" t="str">
        <f t="shared" si="4"/>
        <v>T</v>
      </c>
      <c r="B17" s="11">
        <f t="shared" si="2"/>
        <v>13</v>
      </c>
      <c r="C17" s="99" t="s">
        <v>423</v>
      </c>
      <c r="D17" s="99" t="s">
        <v>51</v>
      </c>
      <c r="E17" s="100">
        <f t="shared" si="3"/>
        <v>14</v>
      </c>
      <c r="F17" s="102"/>
      <c r="G17" s="102"/>
      <c r="H17" s="102"/>
      <c r="I17" s="102"/>
      <c r="J17" s="101">
        <v>14.0</v>
      </c>
      <c r="K17" s="100"/>
      <c r="L17" s="100"/>
      <c r="M17" s="100"/>
    </row>
    <row r="18" ht="12.75" customHeight="1">
      <c r="A18" s="10" t="str">
        <f t="shared" si="4"/>
        <v>T</v>
      </c>
      <c r="B18" s="11">
        <f t="shared" si="2"/>
        <v>13</v>
      </c>
      <c r="C18" s="99" t="s">
        <v>424</v>
      </c>
      <c r="D18" s="99" t="s">
        <v>32</v>
      </c>
      <c r="E18" s="100">
        <f t="shared" si="3"/>
        <v>14</v>
      </c>
      <c r="F18" s="102"/>
      <c r="G18" s="102"/>
      <c r="H18" s="102"/>
      <c r="I18" s="101">
        <v>14.0</v>
      </c>
      <c r="J18" s="102"/>
      <c r="K18" s="100"/>
      <c r="L18" s="100"/>
      <c r="M18" s="100"/>
    </row>
    <row r="19" ht="12.75" customHeight="1">
      <c r="A19" s="10" t="str">
        <f t="shared" si="4"/>
        <v/>
      </c>
      <c r="B19" s="11">
        <f t="shared" si="2"/>
        <v>16</v>
      </c>
      <c r="C19" s="100" t="s">
        <v>425</v>
      </c>
      <c r="D19" s="100" t="s">
        <v>32</v>
      </c>
      <c r="E19" s="100">
        <f t="shared" si="3"/>
        <v>12</v>
      </c>
      <c r="F19" s="14">
        <v>12.0</v>
      </c>
      <c r="G19" s="102"/>
      <c r="H19" s="102"/>
      <c r="I19" s="102"/>
      <c r="J19" s="102"/>
      <c r="K19" s="100"/>
      <c r="L19" s="100"/>
      <c r="M19" s="100"/>
    </row>
    <row r="20" ht="12.75" customHeight="1">
      <c r="A20" s="10" t="str">
        <f t="shared" si="4"/>
        <v/>
      </c>
      <c r="B20" s="11">
        <f t="shared" si="2"/>
        <v>17</v>
      </c>
      <c r="C20" s="99" t="s">
        <v>426</v>
      </c>
      <c r="D20" s="100" t="s">
        <v>265</v>
      </c>
      <c r="E20" s="100">
        <f t="shared" si="3"/>
        <v>8</v>
      </c>
      <c r="F20" s="13"/>
      <c r="G20" s="102"/>
      <c r="H20" s="102"/>
      <c r="I20" s="102"/>
      <c r="J20" s="101">
        <v>8.0</v>
      </c>
      <c r="K20" s="100"/>
      <c r="L20" s="100"/>
      <c r="M20" s="100"/>
    </row>
    <row r="21" ht="12.75" customHeight="1">
      <c r="A21" s="10" t="str">
        <f t="shared" si="4"/>
        <v>T</v>
      </c>
      <c r="B21" s="11">
        <f t="shared" si="2"/>
        <v>17</v>
      </c>
      <c r="C21" s="99" t="s">
        <v>427</v>
      </c>
      <c r="D21" s="99" t="s">
        <v>265</v>
      </c>
      <c r="E21" s="100">
        <f t="shared" si="3"/>
        <v>8</v>
      </c>
      <c r="F21" s="102"/>
      <c r="G21" s="102"/>
      <c r="H21" s="102"/>
      <c r="I21" s="102"/>
      <c r="J21" s="101">
        <v>8.0</v>
      </c>
      <c r="K21" s="100"/>
      <c r="L21" s="100"/>
      <c r="M21" s="100"/>
    </row>
    <row r="22" ht="12.75" customHeight="1">
      <c r="A22" s="10" t="str">
        <f t="shared" si="4"/>
        <v/>
      </c>
      <c r="B22" s="11">
        <f t="shared" si="2"/>
        <v>19</v>
      </c>
      <c r="C22" s="100" t="s">
        <v>428</v>
      </c>
      <c r="D22" s="100" t="s">
        <v>63</v>
      </c>
      <c r="E22" s="100">
        <f t="shared" si="3"/>
        <v>7</v>
      </c>
      <c r="F22" s="14">
        <v>7.0</v>
      </c>
      <c r="G22" s="102"/>
      <c r="H22" s="102"/>
      <c r="I22" s="102"/>
      <c r="J22" s="102"/>
      <c r="K22" s="100"/>
      <c r="L22" s="100"/>
      <c r="M22" s="100"/>
    </row>
    <row r="23" ht="12.75" customHeight="1">
      <c r="A23" s="10" t="str">
        <f t="shared" si="4"/>
        <v>T</v>
      </c>
      <c r="B23" s="11">
        <f t="shared" si="2"/>
        <v>19</v>
      </c>
      <c r="C23" s="99" t="s">
        <v>429</v>
      </c>
      <c r="D23" s="99" t="s">
        <v>63</v>
      </c>
      <c r="E23" s="100">
        <f t="shared" si="3"/>
        <v>7</v>
      </c>
      <c r="F23" s="14">
        <v>7.0</v>
      </c>
      <c r="G23" s="102"/>
      <c r="H23" s="102"/>
      <c r="I23" s="102"/>
      <c r="J23" s="102"/>
      <c r="K23" s="100"/>
      <c r="L23" s="100"/>
      <c r="M23" s="100"/>
    </row>
    <row r="24" ht="12.75" customHeight="1">
      <c r="A24" s="10" t="str">
        <f t="shared" si="4"/>
        <v>T</v>
      </c>
      <c r="B24" s="11">
        <f t="shared" si="2"/>
        <v>19</v>
      </c>
      <c r="C24" s="99" t="s">
        <v>430</v>
      </c>
      <c r="D24" s="99" t="s">
        <v>99</v>
      </c>
      <c r="E24" s="100">
        <f t="shared" si="3"/>
        <v>7</v>
      </c>
      <c r="F24" s="14">
        <v>7.0</v>
      </c>
      <c r="G24" s="102"/>
      <c r="H24" s="102"/>
      <c r="I24" s="102"/>
      <c r="J24" s="102"/>
      <c r="K24" s="100"/>
      <c r="L24" s="100"/>
      <c r="M24" s="100"/>
    </row>
    <row r="25" ht="12.75" customHeight="1">
      <c r="A25" s="10"/>
      <c r="B25" s="11"/>
      <c r="C25" s="100"/>
      <c r="D25" s="100"/>
      <c r="E25" s="100"/>
      <c r="F25" s="13"/>
      <c r="G25" s="102"/>
      <c r="H25" s="102"/>
      <c r="I25" s="102"/>
      <c r="J25" s="102"/>
      <c r="K25" s="100"/>
      <c r="L25" s="100"/>
      <c r="M25" s="100"/>
    </row>
    <row r="26" ht="12.75" customHeight="1">
      <c r="A26" s="10"/>
      <c r="B26" s="11"/>
      <c r="C26" s="100"/>
      <c r="D26" s="100"/>
      <c r="E26" s="100"/>
      <c r="F26" s="13"/>
      <c r="G26" s="102"/>
      <c r="H26" s="102"/>
      <c r="I26" s="102"/>
      <c r="J26" s="102"/>
      <c r="K26" s="100"/>
      <c r="L26" s="100"/>
      <c r="M26" s="100"/>
    </row>
    <row r="27" ht="12.75" customHeight="1">
      <c r="A27" s="10"/>
      <c r="B27" s="11"/>
      <c r="C27" s="100"/>
      <c r="D27" s="100"/>
      <c r="E27" s="100"/>
      <c r="F27" s="13"/>
      <c r="G27" s="102"/>
      <c r="H27" s="102"/>
      <c r="I27" s="102"/>
      <c r="J27" s="102"/>
      <c r="K27" s="100"/>
      <c r="L27" s="100"/>
      <c r="M27" s="100"/>
    </row>
    <row r="28" ht="12.75" customHeight="1">
      <c r="A28" s="10"/>
      <c r="B28" s="11"/>
      <c r="C28" s="100"/>
      <c r="D28" s="100"/>
      <c r="E28" s="100"/>
      <c r="F28" s="102"/>
      <c r="G28" s="102"/>
      <c r="H28" s="102"/>
      <c r="I28" s="102"/>
      <c r="J28" s="102"/>
      <c r="K28" s="100"/>
      <c r="L28" s="100"/>
      <c r="M28" s="100"/>
    </row>
    <row r="29" ht="12.75" customHeight="1">
      <c r="A29" s="10"/>
      <c r="B29" s="11"/>
      <c r="C29" s="100"/>
      <c r="D29" s="100"/>
      <c r="E29" s="100"/>
      <c r="F29" s="102"/>
      <c r="G29" s="102"/>
      <c r="H29" s="102"/>
      <c r="I29" s="102"/>
      <c r="J29" s="102"/>
      <c r="K29" s="100"/>
      <c r="L29" s="100"/>
      <c r="M29" s="100"/>
    </row>
    <row r="30" ht="12.75" customHeight="1">
      <c r="A30" s="19" t="s">
        <v>137</v>
      </c>
      <c r="B30" s="20"/>
      <c r="C30" s="21" t="s">
        <v>138</v>
      </c>
      <c r="D30" s="22"/>
      <c r="E30" s="22"/>
      <c r="F30" s="22"/>
      <c r="G30" s="22"/>
      <c r="H30" s="22"/>
      <c r="I30" s="22"/>
      <c r="J30" s="22"/>
      <c r="K30" s="22"/>
      <c r="L30" s="22"/>
      <c r="M30" s="23"/>
    </row>
    <row r="31" ht="12.75" customHeight="1">
      <c r="A31" s="19" t="s">
        <v>137</v>
      </c>
      <c r="B31" s="24"/>
      <c r="C31" s="25" t="s">
        <v>139</v>
      </c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4">
    <mergeCell ref="F2:M2"/>
    <mergeCell ref="A3:B3"/>
    <mergeCell ref="C30:M30"/>
    <mergeCell ref="C31:M31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6.5"/>
    <col customWidth="1" min="3" max="3" width="12.38"/>
    <col customWidth="1" min="4" max="4" width="16.88"/>
    <col customWidth="1" min="5" max="5" width="5.25"/>
    <col customWidth="1" min="6" max="15" width="7.13"/>
    <col customWidth="1" min="16" max="17" width="8.0"/>
  </cols>
  <sheetData>
    <row r="1" ht="16.5" customHeight="1">
      <c r="A1" s="47"/>
      <c r="B1" s="48" t="s">
        <v>431</v>
      </c>
      <c r="E1" s="103"/>
      <c r="F1" s="103"/>
      <c r="G1" s="47"/>
      <c r="H1" s="47"/>
      <c r="I1" s="47"/>
      <c r="J1" s="47"/>
      <c r="K1" s="47"/>
      <c r="L1" s="47"/>
      <c r="M1" s="47"/>
      <c r="N1" s="47"/>
      <c r="O1" s="47"/>
    </row>
    <row r="2" ht="12.75" customHeight="1">
      <c r="A2" s="49"/>
      <c r="B2" s="50"/>
      <c r="C2" s="104"/>
      <c r="D2" s="105"/>
      <c r="E2" s="104"/>
      <c r="F2" s="106"/>
      <c r="G2" s="51"/>
      <c r="H2" s="51"/>
      <c r="I2" s="51"/>
      <c r="J2" s="52" t="s">
        <v>141</v>
      </c>
      <c r="K2" s="51"/>
      <c r="L2" s="51"/>
      <c r="M2" s="51"/>
      <c r="N2" s="51"/>
      <c r="O2" s="53"/>
    </row>
    <row r="3" ht="12.75" customHeight="1">
      <c r="A3" s="54" t="s">
        <v>1</v>
      </c>
      <c r="B3" s="31"/>
      <c r="C3" s="107" t="s">
        <v>2</v>
      </c>
      <c r="D3" s="108" t="s">
        <v>3</v>
      </c>
      <c r="E3" s="107" t="s">
        <v>4</v>
      </c>
      <c r="F3" s="109" t="s">
        <v>7</v>
      </c>
      <c r="G3" s="56" t="s">
        <v>229</v>
      </c>
      <c r="H3" s="56" t="s">
        <v>12</v>
      </c>
      <c r="I3" s="56" t="s">
        <v>230</v>
      </c>
      <c r="J3" s="56" t="s">
        <v>13</v>
      </c>
      <c r="K3" s="56" t="s">
        <v>14</v>
      </c>
      <c r="L3" s="56" t="s">
        <v>15</v>
      </c>
      <c r="M3" s="56" t="s">
        <v>16</v>
      </c>
      <c r="N3" s="56" t="s">
        <v>17</v>
      </c>
      <c r="O3" s="109"/>
    </row>
    <row r="4" ht="12.75" customHeight="1">
      <c r="A4" s="57" t="str">
        <f t="shared" ref="A4:A54" si="1">IF(B4=B3,"T","")</f>
        <v/>
      </c>
      <c r="B4" s="110">
        <f t="shared" ref="B4:B54" si="2">RANK(E4,$E$4:$E$60,0)</f>
        <v>1</v>
      </c>
      <c r="C4" s="59" t="s">
        <v>432</v>
      </c>
      <c r="D4" s="59" t="s">
        <v>433</v>
      </c>
      <c r="E4" s="60">
        <f t="shared" ref="E4:E54" si="3">SUM(F4:O4)</f>
        <v>157</v>
      </c>
      <c r="F4" s="61">
        <v>18.0</v>
      </c>
      <c r="G4" s="61">
        <v>22.0</v>
      </c>
      <c r="H4" s="61"/>
      <c r="I4" s="61">
        <v>8.0</v>
      </c>
      <c r="J4" s="61"/>
      <c r="K4" s="61">
        <v>32.0</v>
      </c>
      <c r="L4" s="61">
        <v>23.0</v>
      </c>
      <c r="M4" s="61">
        <v>32.0</v>
      </c>
      <c r="N4" s="61">
        <v>22.0</v>
      </c>
      <c r="O4" s="61"/>
    </row>
    <row r="5" ht="15.0" customHeight="1">
      <c r="A5" s="57" t="str">
        <f t="shared" si="1"/>
        <v>T</v>
      </c>
      <c r="B5" s="110">
        <f t="shared" si="2"/>
        <v>1</v>
      </c>
      <c r="C5" s="59" t="s">
        <v>434</v>
      </c>
      <c r="D5" s="59" t="s">
        <v>435</v>
      </c>
      <c r="E5" s="60">
        <f t="shared" si="3"/>
        <v>157</v>
      </c>
      <c r="F5" s="61">
        <v>18.0</v>
      </c>
      <c r="G5" s="61">
        <v>22.0</v>
      </c>
      <c r="H5" s="61"/>
      <c r="I5" s="61">
        <v>8.0</v>
      </c>
      <c r="J5" s="61"/>
      <c r="K5" s="61">
        <v>32.0</v>
      </c>
      <c r="L5" s="61">
        <v>23.0</v>
      </c>
      <c r="M5" s="61">
        <v>32.0</v>
      </c>
      <c r="N5" s="61">
        <v>22.0</v>
      </c>
      <c r="O5" s="61"/>
    </row>
    <row r="6" ht="12.75" customHeight="1">
      <c r="A6" s="57" t="str">
        <f t="shared" si="1"/>
        <v/>
      </c>
      <c r="B6" s="110">
        <f t="shared" si="2"/>
        <v>3</v>
      </c>
      <c r="C6" s="59" t="s">
        <v>436</v>
      </c>
      <c r="D6" s="59" t="s">
        <v>32</v>
      </c>
      <c r="E6" s="60">
        <f t="shared" si="3"/>
        <v>111</v>
      </c>
      <c r="F6" s="61">
        <v>26.0</v>
      </c>
      <c r="G6" s="61">
        <v>14.0</v>
      </c>
      <c r="H6" s="63"/>
      <c r="I6" s="61">
        <v>8.0</v>
      </c>
      <c r="J6" s="61"/>
      <c r="K6" s="64">
        <v>22.0</v>
      </c>
      <c r="L6" s="64">
        <v>41.0</v>
      </c>
      <c r="M6" s="63"/>
      <c r="N6" s="63"/>
      <c r="O6" s="63"/>
    </row>
    <row r="7" ht="12.75" customHeight="1">
      <c r="A7" s="57" t="str">
        <f t="shared" si="1"/>
        <v/>
      </c>
      <c r="B7" s="110">
        <f t="shared" si="2"/>
        <v>4</v>
      </c>
      <c r="C7" s="59" t="s">
        <v>437</v>
      </c>
      <c r="D7" s="59" t="s">
        <v>407</v>
      </c>
      <c r="E7" s="60">
        <f t="shared" si="3"/>
        <v>110</v>
      </c>
      <c r="F7" s="63"/>
      <c r="G7" s="61">
        <v>32.0</v>
      </c>
      <c r="H7" s="61"/>
      <c r="I7" s="61">
        <v>32.0</v>
      </c>
      <c r="J7" s="64">
        <v>14.0</v>
      </c>
      <c r="K7" s="63"/>
      <c r="L7" s="63"/>
      <c r="M7" s="63"/>
      <c r="N7" s="64">
        <v>32.0</v>
      </c>
      <c r="O7" s="63"/>
    </row>
    <row r="8" ht="12.75" customHeight="1">
      <c r="A8" s="57" t="str">
        <f t="shared" si="1"/>
        <v/>
      </c>
      <c r="B8" s="110">
        <f t="shared" si="2"/>
        <v>5</v>
      </c>
      <c r="C8" s="59" t="s">
        <v>438</v>
      </c>
      <c r="D8" s="59" t="s">
        <v>439</v>
      </c>
      <c r="E8" s="60">
        <f t="shared" si="3"/>
        <v>103</v>
      </c>
      <c r="F8" s="61">
        <v>26.0</v>
      </c>
      <c r="G8" s="61">
        <v>14.0</v>
      </c>
      <c r="H8" s="63"/>
      <c r="I8" s="63"/>
      <c r="J8" s="61"/>
      <c r="K8" s="64">
        <v>22.0</v>
      </c>
      <c r="L8" s="64">
        <v>41.0</v>
      </c>
      <c r="M8" s="63"/>
      <c r="N8" s="63"/>
      <c r="O8" s="63"/>
    </row>
    <row r="9" ht="12.75" customHeight="1">
      <c r="A9" s="57" t="str">
        <f t="shared" si="1"/>
        <v>T</v>
      </c>
      <c r="B9" s="110">
        <f t="shared" si="2"/>
        <v>5</v>
      </c>
      <c r="C9" s="59" t="s">
        <v>440</v>
      </c>
      <c r="D9" s="59" t="s">
        <v>32</v>
      </c>
      <c r="E9" s="60">
        <f t="shared" si="3"/>
        <v>103</v>
      </c>
      <c r="F9" s="61">
        <v>7.0</v>
      </c>
      <c r="G9" s="61">
        <v>32.0</v>
      </c>
      <c r="H9" s="63"/>
      <c r="I9" s="63"/>
      <c r="J9" s="64">
        <v>32.0</v>
      </c>
      <c r="K9" s="61"/>
      <c r="L9" s="61"/>
      <c r="M9" s="63"/>
      <c r="N9" s="61">
        <v>32.0</v>
      </c>
      <c r="O9" s="63"/>
    </row>
    <row r="10" ht="12.75" customHeight="1">
      <c r="A10" s="57" t="str">
        <f t="shared" si="1"/>
        <v/>
      </c>
      <c r="B10" s="110">
        <f t="shared" si="2"/>
        <v>7</v>
      </c>
      <c r="C10" s="59" t="s">
        <v>441</v>
      </c>
      <c r="D10" s="59" t="s">
        <v>407</v>
      </c>
      <c r="E10" s="60">
        <f t="shared" si="3"/>
        <v>64</v>
      </c>
      <c r="F10" s="62"/>
      <c r="G10" s="63"/>
      <c r="H10" s="63"/>
      <c r="I10" s="64">
        <v>32.0</v>
      </c>
      <c r="J10" s="64">
        <v>32.0</v>
      </c>
      <c r="K10" s="61"/>
      <c r="L10" s="61"/>
      <c r="M10" s="63"/>
      <c r="N10" s="63"/>
      <c r="O10" s="63"/>
    </row>
    <row r="11" ht="12.75" customHeight="1">
      <c r="A11" s="57" t="str">
        <f t="shared" si="1"/>
        <v/>
      </c>
      <c r="B11" s="110">
        <f t="shared" si="2"/>
        <v>24</v>
      </c>
      <c r="C11" s="59" t="s">
        <v>442</v>
      </c>
      <c r="D11" s="59" t="s">
        <v>443</v>
      </c>
      <c r="E11" s="60">
        <f t="shared" si="3"/>
        <v>15</v>
      </c>
      <c r="F11" s="61">
        <v>7.0</v>
      </c>
      <c r="G11" s="63"/>
      <c r="H11" s="63"/>
      <c r="I11" s="63"/>
      <c r="J11" s="64">
        <v>8.0</v>
      </c>
      <c r="K11" s="63"/>
      <c r="L11" s="63"/>
      <c r="M11" s="63"/>
      <c r="N11" s="63"/>
      <c r="O11" s="61"/>
    </row>
    <row r="12" ht="12.75" customHeight="1">
      <c r="A12" s="57" t="str">
        <f t="shared" si="1"/>
        <v>T</v>
      </c>
      <c r="B12" s="110">
        <f t="shared" si="2"/>
        <v>24</v>
      </c>
      <c r="C12" s="59" t="s">
        <v>444</v>
      </c>
      <c r="D12" s="59" t="s">
        <v>32</v>
      </c>
      <c r="E12" s="60">
        <f t="shared" si="3"/>
        <v>15</v>
      </c>
      <c r="F12" s="61">
        <v>7.0</v>
      </c>
      <c r="G12" s="63"/>
      <c r="H12" s="63"/>
      <c r="I12" s="63"/>
      <c r="J12" s="64">
        <v>8.0</v>
      </c>
      <c r="K12" s="63"/>
      <c r="L12" s="63"/>
      <c r="M12" s="63"/>
      <c r="N12" s="63"/>
      <c r="O12" s="61"/>
    </row>
    <row r="13" ht="12.75" customHeight="1">
      <c r="A13" s="57" t="str">
        <f t="shared" si="1"/>
        <v/>
      </c>
      <c r="B13" s="110">
        <f t="shared" si="2"/>
        <v>15</v>
      </c>
      <c r="C13" s="59" t="s">
        <v>445</v>
      </c>
      <c r="D13" s="59" t="s">
        <v>45</v>
      </c>
      <c r="E13" s="60">
        <f t="shared" si="3"/>
        <v>22</v>
      </c>
      <c r="F13" s="62"/>
      <c r="G13" s="63"/>
      <c r="H13" s="63"/>
      <c r="I13" s="63"/>
      <c r="J13" s="63"/>
      <c r="K13" s="63"/>
      <c r="L13" s="63"/>
      <c r="M13" s="64">
        <v>14.0</v>
      </c>
      <c r="N13" s="64">
        <v>8.0</v>
      </c>
      <c r="O13" s="61"/>
    </row>
    <row r="14" ht="12.75" customHeight="1">
      <c r="A14" s="57" t="str">
        <f t="shared" si="1"/>
        <v>T</v>
      </c>
      <c r="B14" s="110">
        <f t="shared" si="2"/>
        <v>15</v>
      </c>
      <c r="C14" s="59" t="s">
        <v>446</v>
      </c>
      <c r="D14" s="59" t="s">
        <v>447</v>
      </c>
      <c r="E14" s="60">
        <f t="shared" si="3"/>
        <v>22</v>
      </c>
      <c r="F14" s="62"/>
      <c r="G14" s="63"/>
      <c r="H14" s="63"/>
      <c r="I14" s="63"/>
      <c r="J14" s="63"/>
      <c r="K14" s="63"/>
      <c r="L14" s="63"/>
      <c r="M14" s="64">
        <v>14.0</v>
      </c>
      <c r="N14" s="64">
        <v>8.0</v>
      </c>
      <c r="O14" s="61"/>
    </row>
    <row r="15" ht="12.75" customHeight="1">
      <c r="A15" s="57" t="str">
        <f t="shared" si="1"/>
        <v/>
      </c>
      <c r="B15" s="110">
        <f t="shared" si="2"/>
        <v>8</v>
      </c>
      <c r="C15" s="59" t="s">
        <v>448</v>
      </c>
      <c r="D15" s="59" t="s">
        <v>417</v>
      </c>
      <c r="E15" s="60">
        <f t="shared" si="3"/>
        <v>44</v>
      </c>
      <c r="F15" s="63"/>
      <c r="G15" s="63"/>
      <c r="H15" s="63"/>
      <c r="I15" s="61">
        <v>22.0</v>
      </c>
      <c r="J15" s="63"/>
      <c r="K15" s="63"/>
      <c r="L15" s="63"/>
      <c r="M15" s="64">
        <v>22.0</v>
      </c>
      <c r="N15" s="61"/>
      <c r="O15" s="63"/>
    </row>
    <row r="16" ht="12.75" customHeight="1">
      <c r="A16" s="57" t="str">
        <f t="shared" si="1"/>
        <v>T</v>
      </c>
      <c r="B16" s="110">
        <f t="shared" si="2"/>
        <v>8</v>
      </c>
      <c r="C16" s="59" t="s">
        <v>449</v>
      </c>
      <c r="D16" s="59" t="s">
        <v>61</v>
      </c>
      <c r="E16" s="60">
        <f t="shared" si="3"/>
        <v>44</v>
      </c>
      <c r="F16" s="63"/>
      <c r="G16" s="63"/>
      <c r="H16" s="63"/>
      <c r="I16" s="61"/>
      <c r="J16" s="64">
        <v>8.0</v>
      </c>
      <c r="K16" s="61">
        <v>22.0</v>
      </c>
      <c r="L16" s="61"/>
      <c r="M16" s="63"/>
      <c r="N16" s="61">
        <v>14.0</v>
      </c>
      <c r="O16" s="63"/>
    </row>
    <row r="17" ht="12.75" customHeight="1">
      <c r="A17" s="57" t="str">
        <f t="shared" si="1"/>
        <v/>
      </c>
      <c r="B17" s="110">
        <f t="shared" si="2"/>
        <v>10</v>
      </c>
      <c r="C17" s="59" t="s">
        <v>450</v>
      </c>
      <c r="D17" s="59" t="s">
        <v>451</v>
      </c>
      <c r="E17" s="60">
        <f t="shared" si="3"/>
        <v>42</v>
      </c>
      <c r="F17" s="63"/>
      <c r="G17" s="61">
        <v>14.0</v>
      </c>
      <c r="H17" s="61"/>
      <c r="I17" s="61">
        <v>14.0</v>
      </c>
      <c r="J17" s="64">
        <v>14.0</v>
      </c>
      <c r="K17" s="63"/>
      <c r="L17" s="63"/>
      <c r="M17" s="63"/>
      <c r="N17" s="63"/>
      <c r="O17" s="63"/>
    </row>
    <row r="18" ht="12.75" customHeight="1">
      <c r="A18" s="57" t="str">
        <f t="shared" si="1"/>
        <v>T</v>
      </c>
      <c r="B18" s="110">
        <f t="shared" si="2"/>
        <v>10</v>
      </c>
      <c r="C18" s="59" t="s">
        <v>452</v>
      </c>
      <c r="D18" s="59" t="s">
        <v>451</v>
      </c>
      <c r="E18" s="60">
        <f t="shared" si="3"/>
        <v>42</v>
      </c>
      <c r="F18" s="62"/>
      <c r="G18" s="61">
        <v>14.0</v>
      </c>
      <c r="H18" s="61"/>
      <c r="I18" s="61">
        <v>14.0</v>
      </c>
      <c r="J18" s="63"/>
      <c r="K18" s="63"/>
      <c r="L18" s="63"/>
      <c r="M18" s="63"/>
      <c r="N18" s="64">
        <v>14.0</v>
      </c>
      <c r="O18" s="63"/>
    </row>
    <row r="19" ht="12.75" customHeight="1">
      <c r="A19" s="57" t="str">
        <f t="shared" si="1"/>
        <v/>
      </c>
      <c r="B19" s="110">
        <f t="shared" si="2"/>
        <v>12</v>
      </c>
      <c r="C19" s="59" t="s">
        <v>453</v>
      </c>
      <c r="D19" s="59" t="s">
        <v>111</v>
      </c>
      <c r="E19" s="60">
        <f t="shared" si="3"/>
        <v>36</v>
      </c>
      <c r="F19" s="63"/>
      <c r="G19" s="63"/>
      <c r="H19" s="63"/>
      <c r="I19" s="64">
        <v>8.0</v>
      </c>
      <c r="J19" s="61"/>
      <c r="K19" s="64">
        <v>14.0</v>
      </c>
      <c r="L19" s="64"/>
      <c r="M19" s="63"/>
      <c r="N19" s="64">
        <v>14.0</v>
      </c>
      <c r="O19" s="63"/>
    </row>
    <row r="20" ht="12.75" customHeight="1">
      <c r="A20" s="57" t="str">
        <f t="shared" si="1"/>
        <v/>
      </c>
      <c r="B20" s="110">
        <f t="shared" si="2"/>
        <v>13</v>
      </c>
      <c r="C20" s="59" t="s">
        <v>454</v>
      </c>
      <c r="D20" s="59" t="s">
        <v>455</v>
      </c>
      <c r="E20" s="60">
        <f t="shared" si="3"/>
        <v>34</v>
      </c>
      <c r="F20" s="61">
        <v>12.0</v>
      </c>
      <c r="G20" s="63"/>
      <c r="H20" s="63"/>
      <c r="I20" s="63"/>
      <c r="J20" s="61"/>
      <c r="K20" s="61">
        <v>8.0</v>
      </c>
      <c r="L20" s="61">
        <v>14.0</v>
      </c>
      <c r="M20" s="63"/>
      <c r="N20" s="63"/>
      <c r="O20" s="63"/>
    </row>
    <row r="21" ht="12.75" customHeight="1">
      <c r="A21" s="57" t="str">
        <f t="shared" si="1"/>
        <v/>
      </c>
      <c r="B21" s="110">
        <f t="shared" si="2"/>
        <v>14</v>
      </c>
      <c r="C21" s="59" t="s">
        <v>456</v>
      </c>
      <c r="D21" s="59" t="s">
        <v>61</v>
      </c>
      <c r="E21" s="60">
        <f t="shared" si="3"/>
        <v>24</v>
      </c>
      <c r="F21" s="63"/>
      <c r="G21" s="61">
        <v>8.0</v>
      </c>
      <c r="H21" s="63"/>
      <c r="I21" s="63"/>
      <c r="J21" s="64">
        <v>8.0</v>
      </c>
      <c r="K21" s="61">
        <v>8.0</v>
      </c>
      <c r="L21" s="61"/>
      <c r="M21" s="63"/>
      <c r="N21" s="61"/>
      <c r="O21" s="63"/>
    </row>
    <row r="22" ht="12.75" customHeight="1">
      <c r="A22" s="57" t="str">
        <f t="shared" si="1"/>
        <v/>
      </c>
      <c r="B22" s="110">
        <f t="shared" si="2"/>
        <v>15</v>
      </c>
      <c r="C22" s="59" t="s">
        <v>457</v>
      </c>
      <c r="D22" s="59" t="s">
        <v>134</v>
      </c>
      <c r="E22" s="60">
        <f t="shared" si="3"/>
        <v>22</v>
      </c>
      <c r="F22" s="62"/>
      <c r="G22" s="63"/>
      <c r="H22" s="63"/>
      <c r="I22" s="61">
        <v>22.0</v>
      </c>
      <c r="J22" s="63"/>
      <c r="K22" s="63"/>
      <c r="L22" s="63"/>
      <c r="M22" s="63"/>
      <c r="N22" s="61"/>
      <c r="O22" s="63"/>
    </row>
    <row r="23" ht="12.75" customHeight="1">
      <c r="A23" s="57" t="str">
        <f t="shared" si="1"/>
        <v>T</v>
      </c>
      <c r="B23" s="110">
        <f t="shared" si="2"/>
        <v>15</v>
      </c>
      <c r="C23" s="59" t="s">
        <v>458</v>
      </c>
      <c r="D23" s="59" t="s">
        <v>32</v>
      </c>
      <c r="E23" s="60">
        <f t="shared" si="3"/>
        <v>22</v>
      </c>
      <c r="F23" s="63"/>
      <c r="G23" s="63"/>
      <c r="H23" s="63"/>
      <c r="I23" s="63"/>
      <c r="J23" s="63"/>
      <c r="K23" s="64">
        <v>22.0</v>
      </c>
      <c r="L23" s="64"/>
      <c r="M23" s="63"/>
      <c r="N23" s="61"/>
      <c r="O23" s="63"/>
    </row>
    <row r="24" ht="12.75" customHeight="1">
      <c r="A24" s="57" t="str">
        <f t="shared" si="1"/>
        <v>T</v>
      </c>
      <c r="B24" s="110">
        <f t="shared" si="2"/>
        <v>15</v>
      </c>
      <c r="C24" s="59" t="s">
        <v>459</v>
      </c>
      <c r="D24" s="59" t="s">
        <v>32</v>
      </c>
      <c r="E24" s="60">
        <f t="shared" si="3"/>
        <v>22</v>
      </c>
      <c r="F24" s="63"/>
      <c r="G24" s="63"/>
      <c r="H24" s="63"/>
      <c r="I24" s="63"/>
      <c r="J24" s="61"/>
      <c r="K24" s="61">
        <v>8.0</v>
      </c>
      <c r="L24" s="61">
        <v>14.0</v>
      </c>
      <c r="M24" s="63"/>
      <c r="N24" s="63"/>
      <c r="O24" s="63"/>
    </row>
    <row r="25" ht="12.75" customHeight="1">
      <c r="A25" s="57" t="str">
        <f t="shared" si="1"/>
        <v>T</v>
      </c>
      <c r="B25" s="110">
        <f t="shared" si="2"/>
        <v>15</v>
      </c>
      <c r="C25" s="100" t="s">
        <v>460</v>
      </c>
      <c r="D25" s="100" t="s">
        <v>461</v>
      </c>
      <c r="E25" s="60">
        <f t="shared" si="3"/>
        <v>22</v>
      </c>
      <c r="F25" s="62"/>
      <c r="G25" s="63"/>
      <c r="H25" s="61"/>
      <c r="I25" s="63"/>
      <c r="J25" s="63"/>
      <c r="K25" s="63"/>
      <c r="L25" s="63"/>
      <c r="M25" s="64">
        <v>22.0</v>
      </c>
      <c r="N25" s="63"/>
      <c r="O25" s="63"/>
    </row>
    <row r="26" ht="12.75" customHeight="1">
      <c r="A26" s="57" t="str">
        <f t="shared" si="1"/>
        <v/>
      </c>
      <c r="B26" s="110">
        <f t="shared" si="2"/>
        <v>21</v>
      </c>
      <c r="C26" s="59" t="s">
        <v>462</v>
      </c>
      <c r="D26" s="59" t="s">
        <v>32</v>
      </c>
      <c r="E26" s="60">
        <f t="shared" si="3"/>
        <v>20</v>
      </c>
      <c r="F26" s="61">
        <v>12.0</v>
      </c>
      <c r="G26" s="63"/>
      <c r="H26" s="63"/>
      <c r="I26" s="63"/>
      <c r="J26" s="63"/>
      <c r="K26" s="63"/>
      <c r="L26" s="63"/>
      <c r="M26" s="63"/>
      <c r="N26" s="61">
        <v>8.0</v>
      </c>
      <c r="O26" s="63"/>
    </row>
    <row r="27" ht="12.75" customHeight="1">
      <c r="A27" s="57" t="str">
        <f t="shared" si="1"/>
        <v>T</v>
      </c>
      <c r="B27" s="110">
        <f t="shared" si="2"/>
        <v>21</v>
      </c>
      <c r="C27" s="59" t="s">
        <v>463</v>
      </c>
      <c r="D27" s="59" t="s">
        <v>63</v>
      </c>
      <c r="E27" s="60">
        <f t="shared" si="3"/>
        <v>20</v>
      </c>
      <c r="F27" s="61">
        <v>12.0</v>
      </c>
      <c r="G27" s="63"/>
      <c r="H27" s="63"/>
      <c r="I27" s="63"/>
      <c r="J27" s="63"/>
      <c r="K27" s="63"/>
      <c r="L27" s="63"/>
      <c r="M27" s="63"/>
      <c r="N27" s="61">
        <v>8.0</v>
      </c>
      <c r="O27" s="63"/>
    </row>
    <row r="28" ht="12.75" customHeight="1">
      <c r="A28" s="57" t="str">
        <f t="shared" si="1"/>
        <v/>
      </c>
      <c r="B28" s="110">
        <f t="shared" si="2"/>
        <v>23</v>
      </c>
      <c r="C28" s="59" t="s">
        <v>464</v>
      </c>
      <c r="D28" s="59" t="s">
        <v>232</v>
      </c>
      <c r="E28" s="60">
        <f t="shared" si="3"/>
        <v>16</v>
      </c>
      <c r="F28" s="62"/>
      <c r="G28" s="61">
        <v>8.0</v>
      </c>
      <c r="H28" s="63"/>
      <c r="I28" s="63"/>
      <c r="J28" s="63"/>
      <c r="K28" s="64">
        <v>8.0</v>
      </c>
      <c r="L28" s="64"/>
      <c r="M28" s="63"/>
      <c r="N28" s="63"/>
      <c r="O28" s="63"/>
    </row>
    <row r="29" ht="12.75" customHeight="1">
      <c r="A29" s="57" t="str">
        <f t="shared" si="1"/>
        <v/>
      </c>
      <c r="B29" s="110">
        <f t="shared" si="2"/>
        <v>26</v>
      </c>
      <c r="C29" s="59" t="s">
        <v>465</v>
      </c>
      <c r="D29" s="59" t="s">
        <v>466</v>
      </c>
      <c r="E29" s="60">
        <f t="shared" si="3"/>
        <v>14</v>
      </c>
      <c r="F29" s="63"/>
      <c r="G29" s="63"/>
      <c r="H29" s="63"/>
      <c r="I29" s="63"/>
      <c r="J29" s="61"/>
      <c r="K29" s="64">
        <v>14.0</v>
      </c>
      <c r="L29" s="64"/>
      <c r="M29" s="63"/>
      <c r="N29" s="63"/>
      <c r="O29" s="63"/>
    </row>
    <row r="30" ht="12.75" customHeight="1">
      <c r="A30" s="57" t="str">
        <f t="shared" si="1"/>
        <v>T</v>
      </c>
      <c r="B30" s="110">
        <f t="shared" si="2"/>
        <v>26</v>
      </c>
      <c r="C30" s="59" t="s">
        <v>467</v>
      </c>
      <c r="D30" s="59" t="s">
        <v>36</v>
      </c>
      <c r="E30" s="60">
        <f t="shared" si="3"/>
        <v>14</v>
      </c>
      <c r="F30" s="63"/>
      <c r="G30" s="63"/>
      <c r="H30" s="63"/>
      <c r="I30" s="61"/>
      <c r="J30" s="64">
        <v>14.0</v>
      </c>
      <c r="K30" s="63"/>
      <c r="L30" s="63"/>
      <c r="M30" s="63"/>
      <c r="N30" s="63"/>
      <c r="O30" s="63"/>
    </row>
    <row r="31" ht="12.75" customHeight="1">
      <c r="A31" s="57" t="str">
        <f t="shared" si="1"/>
        <v>T</v>
      </c>
      <c r="B31" s="110">
        <f t="shared" si="2"/>
        <v>26</v>
      </c>
      <c r="C31" s="59" t="s">
        <v>468</v>
      </c>
      <c r="D31" s="59" t="s">
        <v>36</v>
      </c>
      <c r="E31" s="60">
        <f t="shared" si="3"/>
        <v>14</v>
      </c>
      <c r="F31" s="63"/>
      <c r="G31" s="63"/>
      <c r="H31" s="63"/>
      <c r="I31" s="61"/>
      <c r="J31" s="64">
        <v>14.0</v>
      </c>
      <c r="K31" s="63"/>
      <c r="L31" s="63"/>
      <c r="M31" s="63"/>
      <c r="N31" s="63"/>
      <c r="O31" s="63"/>
    </row>
    <row r="32" ht="12.75" customHeight="1">
      <c r="A32" s="57" t="str">
        <f t="shared" si="1"/>
        <v>T</v>
      </c>
      <c r="B32" s="110">
        <f t="shared" si="2"/>
        <v>26</v>
      </c>
      <c r="C32" s="16" t="s">
        <v>469</v>
      </c>
      <c r="D32" s="16" t="s">
        <v>470</v>
      </c>
      <c r="E32" s="60">
        <f t="shared" si="3"/>
        <v>14</v>
      </c>
      <c r="F32" s="62"/>
      <c r="G32" s="63"/>
      <c r="H32" s="61"/>
      <c r="I32" s="61"/>
      <c r="J32" s="63"/>
      <c r="K32" s="63"/>
      <c r="L32" s="63"/>
      <c r="M32" s="64">
        <v>14.0</v>
      </c>
      <c r="N32" s="63"/>
      <c r="O32" s="63"/>
    </row>
    <row r="33" ht="12.75" customHeight="1">
      <c r="A33" s="57" t="str">
        <f t="shared" si="1"/>
        <v>T</v>
      </c>
      <c r="B33" s="110">
        <f t="shared" si="2"/>
        <v>26</v>
      </c>
      <c r="C33" s="59" t="s">
        <v>471</v>
      </c>
      <c r="D33" s="59" t="s">
        <v>82</v>
      </c>
      <c r="E33" s="60">
        <f t="shared" si="3"/>
        <v>14</v>
      </c>
      <c r="F33" s="63"/>
      <c r="G33" s="63"/>
      <c r="H33" s="63"/>
      <c r="I33" s="63"/>
      <c r="J33" s="61"/>
      <c r="K33" s="61"/>
      <c r="L33" s="61"/>
      <c r="M33" s="64">
        <v>14.0</v>
      </c>
      <c r="N33" s="63"/>
      <c r="O33" s="63"/>
    </row>
    <row r="34" ht="12.75" customHeight="1">
      <c r="A34" s="57" t="str">
        <f t="shared" si="1"/>
        <v>T</v>
      </c>
      <c r="B34" s="110">
        <f t="shared" si="2"/>
        <v>26</v>
      </c>
      <c r="C34" s="59" t="s">
        <v>415</v>
      </c>
      <c r="D34" s="59" t="s">
        <v>63</v>
      </c>
      <c r="E34" s="60">
        <f t="shared" si="3"/>
        <v>14</v>
      </c>
      <c r="F34" s="63"/>
      <c r="G34" s="63"/>
      <c r="H34" s="63"/>
      <c r="I34" s="63"/>
      <c r="J34" s="61"/>
      <c r="K34" s="61"/>
      <c r="L34" s="61"/>
      <c r="M34" s="63"/>
      <c r="N34" s="64">
        <v>14.0</v>
      </c>
      <c r="O34" s="63"/>
    </row>
    <row r="35" ht="12.75" customHeight="1">
      <c r="A35" s="57" t="str">
        <f t="shared" si="1"/>
        <v/>
      </c>
      <c r="B35" s="110">
        <f t="shared" si="2"/>
        <v>32</v>
      </c>
      <c r="C35" s="59" t="s">
        <v>472</v>
      </c>
      <c r="D35" s="59" t="s">
        <v>32</v>
      </c>
      <c r="E35" s="60">
        <f t="shared" si="3"/>
        <v>12</v>
      </c>
      <c r="F35" s="61">
        <v>12.0</v>
      </c>
      <c r="G35" s="63"/>
      <c r="H35" s="63"/>
      <c r="I35" s="63"/>
      <c r="J35" s="61"/>
      <c r="K35" s="61"/>
      <c r="L35" s="61"/>
      <c r="M35" s="63"/>
      <c r="N35" s="63"/>
      <c r="O35" s="63"/>
    </row>
    <row r="36" ht="12.75" customHeight="1">
      <c r="A36" s="57" t="str">
        <f t="shared" si="1"/>
        <v/>
      </c>
      <c r="B36" s="110">
        <f t="shared" si="2"/>
        <v>33</v>
      </c>
      <c r="C36" s="59" t="s">
        <v>473</v>
      </c>
      <c r="D36" s="59" t="s">
        <v>61</v>
      </c>
      <c r="E36" s="60">
        <f t="shared" si="3"/>
        <v>8</v>
      </c>
      <c r="F36" s="63"/>
      <c r="G36" s="61">
        <v>8.0</v>
      </c>
      <c r="H36" s="63"/>
      <c r="I36" s="63"/>
      <c r="J36" s="63"/>
      <c r="K36" s="63"/>
      <c r="L36" s="63"/>
      <c r="M36" s="63"/>
      <c r="N36" s="61"/>
      <c r="O36" s="63"/>
    </row>
    <row r="37" ht="12.75" customHeight="1">
      <c r="A37" s="57" t="str">
        <f t="shared" si="1"/>
        <v>T</v>
      </c>
      <c r="B37" s="110">
        <f t="shared" si="2"/>
        <v>33</v>
      </c>
      <c r="C37" s="59" t="s">
        <v>474</v>
      </c>
      <c r="D37" s="59" t="s">
        <v>245</v>
      </c>
      <c r="E37" s="60">
        <f t="shared" si="3"/>
        <v>8</v>
      </c>
      <c r="F37" s="63"/>
      <c r="G37" s="63"/>
      <c r="H37" s="61"/>
      <c r="I37" s="64">
        <v>8.0</v>
      </c>
      <c r="J37" s="63"/>
      <c r="K37" s="63"/>
      <c r="L37" s="63"/>
      <c r="M37" s="63"/>
      <c r="N37" s="63"/>
      <c r="O37" s="63"/>
    </row>
    <row r="38" ht="12.75" customHeight="1">
      <c r="A38" s="57" t="str">
        <f t="shared" si="1"/>
        <v>T</v>
      </c>
      <c r="B38" s="110">
        <f t="shared" si="2"/>
        <v>33</v>
      </c>
      <c r="C38" s="59" t="s">
        <v>475</v>
      </c>
      <c r="D38" s="59" t="s">
        <v>63</v>
      </c>
      <c r="E38" s="60">
        <f t="shared" si="3"/>
        <v>8</v>
      </c>
      <c r="F38" s="63"/>
      <c r="G38" s="61">
        <v>8.0</v>
      </c>
      <c r="H38" s="63"/>
      <c r="I38" s="63"/>
      <c r="J38" s="63"/>
      <c r="K38" s="63"/>
      <c r="L38" s="63"/>
      <c r="M38" s="63"/>
      <c r="N38" s="63"/>
      <c r="O38" s="63"/>
    </row>
    <row r="39" ht="12.75" customHeight="1">
      <c r="A39" s="57" t="str">
        <f t="shared" si="1"/>
        <v>T</v>
      </c>
      <c r="B39" s="110">
        <f t="shared" si="2"/>
        <v>33</v>
      </c>
      <c r="C39" s="59" t="s">
        <v>476</v>
      </c>
      <c r="D39" s="59" t="s">
        <v>477</v>
      </c>
      <c r="E39" s="60">
        <f t="shared" si="3"/>
        <v>8</v>
      </c>
      <c r="F39" s="63"/>
      <c r="G39" s="63"/>
      <c r="H39" s="63"/>
      <c r="I39" s="63"/>
      <c r="J39" s="63"/>
      <c r="K39" s="63"/>
      <c r="L39" s="63"/>
      <c r="M39" s="61">
        <v>8.0</v>
      </c>
      <c r="N39" s="63"/>
      <c r="O39" s="63"/>
    </row>
    <row r="40" ht="12.75" customHeight="1">
      <c r="A40" s="57" t="str">
        <f t="shared" si="1"/>
        <v>T</v>
      </c>
      <c r="B40" s="110">
        <f t="shared" si="2"/>
        <v>33</v>
      </c>
      <c r="C40" s="59" t="s">
        <v>478</v>
      </c>
      <c r="D40" s="59" t="s">
        <v>477</v>
      </c>
      <c r="E40" s="60">
        <f t="shared" si="3"/>
        <v>8</v>
      </c>
      <c r="F40" s="63"/>
      <c r="G40" s="63"/>
      <c r="H40" s="63"/>
      <c r="I40" s="63"/>
      <c r="J40" s="63"/>
      <c r="K40" s="63"/>
      <c r="L40" s="63"/>
      <c r="M40" s="61">
        <v>8.0</v>
      </c>
      <c r="N40" s="63"/>
      <c r="O40" s="63"/>
    </row>
    <row r="41" ht="12.75" customHeight="1">
      <c r="A41" s="57" t="str">
        <f t="shared" si="1"/>
        <v>T</v>
      </c>
      <c r="B41" s="110">
        <f t="shared" si="2"/>
        <v>33</v>
      </c>
      <c r="C41" s="59" t="s">
        <v>479</v>
      </c>
      <c r="D41" s="59" t="s">
        <v>477</v>
      </c>
      <c r="E41" s="60">
        <f t="shared" si="3"/>
        <v>8</v>
      </c>
      <c r="F41" s="63"/>
      <c r="G41" s="63"/>
      <c r="H41" s="63"/>
      <c r="I41" s="63"/>
      <c r="J41" s="63"/>
      <c r="K41" s="63"/>
      <c r="L41" s="63"/>
      <c r="M41" s="61">
        <v>8.0</v>
      </c>
      <c r="N41" s="63"/>
      <c r="O41" s="63"/>
    </row>
    <row r="42" ht="12.75" customHeight="1">
      <c r="A42" s="57" t="str">
        <f t="shared" si="1"/>
        <v>T</v>
      </c>
      <c r="B42" s="110">
        <f t="shared" si="2"/>
        <v>33</v>
      </c>
      <c r="C42" s="59" t="s">
        <v>480</v>
      </c>
      <c r="D42" s="59" t="s">
        <v>477</v>
      </c>
      <c r="E42" s="60">
        <f t="shared" si="3"/>
        <v>8</v>
      </c>
      <c r="F42" s="63"/>
      <c r="G42" s="63"/>
      <c r="H42" s="63"/>
      <c r="I42" s="63"/>
      <c r="J42" s="63"/>
      <c r="K42" s="63"/>
      <c r="L42" s="63"/>
      <c r="M42" s="61">
        <v>8.0</v>
      </c>
      <c r="N42" s="63"/>
      <c r="O42" s="63"/>
    </row>
    <row r="43" ht="12.75" customHeight="1">
      <c r="A43" s="57" t="str">
        <f t="shared" si="1"/>
        <v>T</v>
      </c>
      <c r="B43" s="110">
        <f t="shared" si="2"/>
        <v>33</v>
      </c>
      <c r="C43" s="59" t="s">
        <v>481</v>
      </c>
      <c r="D43" s="59" t="s">
        <v>61</v>
      </c>
      <c r="E43" s="60">
        <f t="shared" si="3"/>
        <v>8</v>
      </c>
      <c r="F43" s="62"/>
      <c r="G43" s="61">
        <v>8.0</v>
      </c>
      <c r="H43" s="63"/>
      <c r="I43" s="63"/>
      <c r="J43" s="63"/>
      <c r="K43" s="63"/>
      <c r="L43" s="63"/>
      <c r="M43" s="63"/>
      <c r="N43" s="63"/>
      <c r="O43" s="63"/>
    </row>
    <row r="44" ht="12.75" customHeight="1">
      <c r="A44" s="57" t="str">
        <f t="shared" si="1"/>
        <v>T</v>
      </c>
      <c r="B44" s="110">
        <f t="shared" si="2"/>
        <v>33</v>
      </c>
      <c r="C44" s="59" t="s">
        <v>482</v>
      </c>
      <c r="D44" s="59" t="s">
        <v>483</v>
      </c>
      <c r="E44" s="60">
        <f t="shared" si="3"/>
        <v>8</v>
      </c>
      <c r="F44" s="62"/>
      <c r="G44" s="61">
        <v>8.0</v>
      </c>
      <c r="H44" s="63"/>
      <c r="I44" s="63"/>
      <c r="J44" s="63"/>
      <c r="K44" s="63"/>
      <c r="L44" s="63"/>
      <c r="M44" s="63"/>
      <c r="N44" s="63"/>
      <c r="O44" s="63"/>
    </row>
    <row r="45" ht="12.75" customHeight="1">
      <c r="A45" s="57" t="str">
        <f t="shared" si="1"/>
        <v>T</v>
      </c>
      <c r="B45" s="110">
        <f t="shared" si="2"/>
        <v>33</v>
      </c>
      <c r="C45" s="59" t="s">
        <v>484</v>
      </c>
      <c r="D45" s="59" t="s">
        <v>153</v>
      </c>
      <c r="E45" s="60">
        <f t="shared" si="3"/>
        <v>8</v>
      </c>
      <c r="F45" s="63"/>
      <c r="G45" s="61">
        <v>8.0</v>
      </c>
      <c r="H45" s="63"/>
      <c r="I45" s="63"/>
      <c r="J45" s="63"/>
      <c r="K45" s="61"/>
      <c r="L45" s="61"/>
      <c r="M45" s="63"/>
      <c r="N45" s="63"/>
      <c r="O45" s="63"/>
    </row>
    <row r="46" ht="12.75" customHeight="1">
      <c r="A46" s="57" t="str">
        <f t="shared" si="1"/>
        <v>T</v>
      </c>
      <c r="B46" s="110">
        <f t="shared" si="2"/>
        <v>33</v>
      </c>
      <c r="C46" s="59" t="s">
        <v>485</v>
      </c>
      <c r="D46" s="59" t="s">
        <v>486</v>
      </c>
      <c r="E46" s="60">
        <f t="shared" si="3"/>
        <v>8</v>
      </c>
      <c r="F46" s="63"/>
      <c r="G46" s="63"/>
      <c r="H46" s="63"/>
      <c r="I46" s="64">
        <v>8.0</v>
      </c>
      <c r="J46" s="63"/>
      <c r="K46" s="61"/>
      <c r="L46" s="61"/>
      <c r="M46" s="63"/>
      <c r="N46" s="63"/>
      <c r="O46" s="63"/>
    </row>
    <row r="47" ht="12.75" customHeight="1">
      <c r="A47" s="57" t="str">
        <f t="shared" si="1"/>
        <v>T</v>
      </c>
      <c r="B47" s="110">
        <f t="shared" si="2"/>
        <v>33</v>
      </c>
      <c r="C47" s="59" t="s">
        <v>487</v>
      </c>
      <c r="D47" s="59" t="s">
        <v>32</v>
      </c>
      <c r="E47" s="60">
        <f t="shared" si="3"/>
        <v>8</v>
      </c>
      <c r="F47" s="63"/>
      <c r="G47" s="63"/>
      <c r="H47" s="63"/>
      <c r="I47" s="63"/>
      <c r="J47" s="61">
        <v>8.0</v>
      </c>
      <c r="K47" s="63"/>
      <c r="L47" s="63"/>
      <c r="M47" s="63"/>
      <c r="N47" s="63"/>
      <c r="O47" s="63"/>
    </row>
    <row r="48" ht="12.75" customHeight="1">
      <c r="A48" s="57" t="str">
        <f t="shared" si="1"/>
        <v>T</v>
      </c>
      <c r="B48" s="110">
        <f t="shared" si="2"/>
        <v>33</v>
      </c>
      <c r="C48" s="59" t="s">
        <v>488</v>
      </c>
      <c r="D48" s="59" t="s">
        <v>99</v>
      </c>
      <c r="E48" s="60">
        <f t="shared" si="3"/>
        <v>8</v>
      </c>
      <c r="F48" s="63"/>
      <c r="G48" s="63"/>
      <c r="H48" s="63"/>
      <c r="I48" s="63"/>
      <c r="J48" s="61">
        <v>8.0</v>
      </c>
      <c r="K48" s="63"/>
      <c r="L48" s="63"/>
      <c r="M48" s="63"/>
      <c r="N48" s="63"/>
      <c r="O48" s="63"/>
    </row>
    <row r="49" ht="12.75" customHeight="1">
      <c r="A49" s="57" t="str">
        <f t="shared" si="1"/>
        <v>T</v>
      </c>
      <c r="B49" s="110">
        <f t="shared" si="2"/>
        <v>33</v>
      </c>
      <c r="C49" s="59" t="s">
        <v>489</v>
      </c>
      <c r="D49" s="59" t="s">
        <v>63</v>
      </c>
      <c r="E49" s="60">
        <f t="shared" si="3"/>
        <v>8</v>
      </c>
      <c r="F49" s="62"/>
      <c r="G49" s="61">
        <v>8.0</v>
      </c>
      <c r="H49" s="63"/>
      <c r="I49" s="63"/>
      <c r="J49" s="63"/>
      <c r="K49" s="63"/>
      <c r="L49" s="63"/>
      <c r="M49" s="63"/>
      <c r="N49" s="63"/>
      <c r="O49" s="63"/>
    </row>
    <row r="50" ht="12.75" customHeight="1">
      <c r="A50" s="57" t="str">
        <f t="shared" si="1"/>
        <v/>
      </c>
      <c r="B50" s="110">
        <f t="shared" si="2"/>
        <v>47</v>
      </c>
      <c r="C50" s="59" t="s">
        <v>490</v>
      </c>
      <c r="D50" s="59" t="s">
        <v>32</v>
      </c>
      <c r="E50" s="60">
        <f t="shared" si="3"/>
        <v>7</v>
      </c>
      <c r="F50" s="61">
        <v>7.0</v>
      </c>
      <c r="G50" s="63"/>
      <c r="H50" s="63"/>
      <c r="I50" s="63"/>
      <c r="J50" s="63"/>
      <c r="K50" s="63"/>
      <c r="L50" s="63"/>
      <c r="M50" s="63"/>
      <c r="N50" s="61"/>
      <c r="O50" s="63"/>
    </row>
    <row r="51" ht="12.75" customHeight="1">
      <c r="A51" s="57" t="str">
        <f t="shared" si="1"/>
        <v>T</v>
      </c>
      <c r="B51" s="110">
        <f t="shared" si="2"/>
        <v>47</v>
      </c>
      <c r="C51" s="59" t="s">
        <v>491</v>
      </c>
      <c r="D51" s="59" t="s">
        <v>492</v>
      </c>
      <c r="E51" s="60">
        <f t="shared" si="3"/>
        <v>7</v>
      </c>
      <c r="F51" s="61">
        <v>7.0</v>
      </c>
      <c r="G51" s="63"/>
      <c r="H51" s="63"/>
      <c r="I51" s="63"/>
      <c r="J51" s="63"/>
      <c r="K51" s="63"/>
      <c r="L51" s="63"/>
      <c r="M51" s="63"/>
      <c r="N51" s="63"/>
      <c r="O51" s="63"/>
    </row>
    <row r="52" ht="12.75" customHeight="1">
      <c r="A52" s="57" t="str">
        <f t="shared" si="1"/>
        <v>T</v>
      </c>
      <c r="B52" s="110">
        <f t="shared" si="2"/>
        <v>47</v>
      </c>
      <c r="C52" s="69" t="s">
        <v>493</v>
      </c>
      <c r="D52" s="59" t="s">
        <v>265</v>
      </c>
      <c r="E52" s="60">
        <f t="shared" si="3"/>
        <v>7</v>
      </c>
      <c r="F52" s="61">
        <v>7.0</v>
      </c>
      <c r="G52" s="63"/>
      <c r="H52" s="63"/>
      <c r="I52" s="63"/>
      <c r="J52" s="63"/>
      <c r="K52" s="63"/>
      <c r="L52" s="63"/>
      <c r="M52" s="63"/>
      <c r="N52" s="63"/>
      <c r="O52" s="63"/>
    </row>
    <row r="53" ht="12.75" customHeight="1">
      <c r="A53" s="57" t="str">
        <f t="shared" si="1"/>
        <v>T</v>
      </c>
      <c r="B53" s="110">
        <f t="shared" si="2"/>
        <v>47</v>
      </c>
      <c r="C53" s="59" t="s">
        <v>494</v>
      </c>
      <c r="D53" s="59" t="s">
        <v>265</v>
      </c>
      <c r="E53" s="60">
        <f t="shared" si="3"/>
        <v>7</v>
      </c>
      <c r="F53" s="61">
        <v>7.0</v>
      </c>
      <c r="G53" s="78"/>
      <c r="H53" s="78"/>
      <c r="I53" s="78"/>
      <c r="J53" s="78"/>
      <c r="K53" s="78"/>
      <c r="L53" s="78"/>
      <c r="M53" s="78"/>
      <c r="N53" s="78"/>
      <c r="O53" s="78"/>
    </row>
    <row r="54" ht="12.75" customHeight="1">
      <c r="A54" s="57" t="str">
        <f t="shared" si="1"/>
        <v>T</v>
      </c>
      <c r="B54" s="110">
        <f t="shared" si="2"/>
        <v>47</v>
      </c>
      <c r="C54" s="59" t="s">
        <v>495</v>
      </c>
      <c r="D54" s="59" t="s">
        <v>492</v>
      </c>
      <c r="E54" s="60">
        <f t="shared" si="3"/>
        <v>7</v>
      </c>
      <c r="F54" s="61">
        <v>7.0</v>
      </c>
      <c r="G54" s="63"/>
      <c r="H54" s="63"/>
      <c r="I54" s="63"/>
      <c r="J54" s="63"/>
      <c r="K54" s="63"/>
      <c r="L54" s="63"/>
      <c r="M54" s="63"/>
      <c r="N54" s="63"/>
      <c r="O54" s="63"/>
    </row>
    <row r="55" ht="12.75" customHeight="1">
      <c r="A55" s="57"/>
      <c r="B55" s="110"/>
      <c r="C55" s="59"/>
      <c r="D55" s="59"/>
      <c r="E55" s="60"/>
      <c r="F55" s="63"/>
      <c r="G55" s="63"/>
      <c r="H55" s="63"/>
      <c r="I55" s="63"/>
      <c r="J55" s="63"/>
      <c r="K55" s="61"/>
      <c r="L55" s="61"/>
      <c r="M55" s="63"/>
      <c r="N55" s="61"/>
      <c r="O55" s="63"/>
    </row>
    <row r="56" ht="12.75" customHeight="1">
      <c r="A56" s="57"/>
      <c r="B56" s="110"/>
      <c r="C56" s="59"/>
      <c r="D56" s="59"/>
      <c r="E56" s="60"/>
      <c r="F56" s="63"/>
      <c r="G56" s="63"/>
      <c r="H56" s="63"/>
      <c r="I56" s="63"/>
      <c r="J56" s="63"/>
      <c r="K56" s="63"/>
      <c r="L56" s="63"/>
      <c r="M56" s="63"/>
      <c r="N56" s="61"/>
      <c r="O56" s="63"/>
    </row>
    <row r="57" ht="12.75" customHeight="1">
      <c r="A57" s="57"/>
      <c r="B57" s="110"/>
      <c r="C57" s="59"/>
      <c r="D57" s="59"/>
      <c r="E57" s="60"/>
      <c r="F57" s="63"/>
      <c r="G57" s="63"/>
      <c r="H57" s="63"/>
      <c r="I57" s="63"/>
      <c r="J57" s="63"/>
      <c r="K57" s="61"/>
      <c r="L57" s="61"/>
      <c r="M57" s="63"/>
      <c r="N57" s="61"/>
      <c r="O57" s="63"/>
    </row>
    <row r="58" ht="12.75" customHeight="1">
      <c r="A58" s="57"/>
      <c r="B58" s="110"/>
      <c r="C58" s="59"/>
      <c r="D58" s="59"/>
      <c r="E58" s="60"/>
      <c r="F58" s="63"/>
      <c r="G58" s="63"/>
      <c r="H58" s="63"/>
      <c r="I58" s="63"/>
      <c r="J58" s="63"/>
      <c r="K58" s="63"/>
      <c r="L58" s="63"/>
      <c r="M58" s="63"/>
      <c r="N58" s="61"/>
      <c r="O58" s="63"/>
    </row>
    <row r="59" ht="12.75" customHeight="1">
      <c r="A59" s="57"/>
      <c r="B59" s="110"/>
      <c r="C59" s="59"/>
      <c r="D59" s="59"/>
      <c r="E59" s="60"/>
      <c r="F59" s="63"/>
      <c r="G59" s="63"/>
      <c r="H59" s="63"/>
      <c r="I59" s="63"/>
      <c r="J59" s="61"/>
      <c r="K59" s="61"/>
      <c r="L59" s="61"/>
      <c r="M59" s="63"/>
      <c r="N59" s="63"/>
      <c r="O59" s="63"/>
    </row>
    <row r="60" ht="12.75" customHeight="1">
      <c r="A60" s="47"/>
      <c r="B60" s="67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</row>
    <row r="61" ht="12.75" customHeight="1">
      <c r="A61" s="69" t="s">
        <v>137</v>
      </c>
      <c r="B61" s="111"/>
      <c r="C61" s="112" t="s">
        <v>282</v>
      </c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4"/>
    </row>
    <row r="62" ht="12.75" customHeight="1">
      <c r="A62" s="69" t="s">
        <v>137</v>
      </c>
      <c r="B62" s="115"/>
      <c r="C62" s="81" t="s">
        <v>283</v>
      </c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</row>
    <row r="74" ht="12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ht="12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ht="12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</row>
    <row r="77" ht="12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</row>
    <row r="78" ht="12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 ht="12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</row>
    <row r="80" ht="12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 ht="12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</row>
    <row r="82" ht="12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ht="12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 ht="12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</row>
    <row r="1001" ht="12.7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</row>
    <row r="1002" ht="12.7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</row>
    <row r="1003" ht="12.7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</row>
    <row r="1004" ht="12.7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</row>
    <row r="1005" ht="12.7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</row>
    <row r="1006" ht="12.7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</row>
  </sheetData>
  <mergeCells count="4">
    <mergeCell ref="B1:D1"/>
    <mergeCell ref="A3:B3"/>
    <mergeCell ref="C61:O61"/>
    <mergeCell ref="C62:O6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8.63"/>
    <col customWidth="1" min="3" max="3" width="12.38"/>
    <col customWidth="1" min="4" max="4" width="14.88"/>
    <col customWidth="1" min="5" max="5" width="5.5"/>
    <col customWidth="1" min="6" max="10" width="8.13"/>
    <col customWidth="1" min="11" max="20" width="8.0"/>
  </cols>
  <sheetData>
    <row r="1" ht="16.5" customHeight="1">
      <c r="B1" s="26" t="s">
        <v>496</v>
      </c>
    </row>
    <row r="2" ht="12.75" customHeight="1">
      <c r="A2" s="27"/>
      <c r="B2" s="28"/>
      <c r="C2" s="5"/>
      <c r="D2" s="5"/>
      <c r="E2" s="5"/>
      <c r="F2" s="85" t="s">
        <v>141</v>
      </c>
      <c r="G2" s="34"/>
      <c r="H2" s="34"/>
      <c r="I2" s="34"/>
      <c r="J2" s="35"/>
    </row>
    <row r="3" ht="12.75" customHeight="1">
      <c r="A3" s="30" t="s">
        <v>1</v>
      </c>
      <c r="B3" s="31"/>
      <c r="C3" s="43" t="s">
        <v>2</v>
      </c>
      <c r="D3" s="43" t="s">
        <v>3</v>
      </c>
      <c r="E3" s="43" t="s">
        <v>4</v>
      </c>
      <c r="F3" s="44" t="s">
        <v>5</v>
      </c>
      <c r="G3" s="29" t="s">
        <v>12</v>
      </c>
      <c r="H3" s="29" t="s">
        <v>287</v>
      </c>
      <c r="I3" s="29" t="s">
        <v>497</v>
      </c>
      <c r="J3" s="29"/>
    </row>
    <row r="4" ht="12.75" customHeight="1">
      <c r="A4" s="10" t="str">
        <f t="shared" ref="A4:A21" si="1">IF(B4=B3,"T","")</f>
        <v/>
      </c>
      <c r="B4" s="11">
        <f t="shared" ref="B4:B21" si="2">RANK(E4,$E$4:$E$40,0)</f>
        <v>1</v>
      </c>
      <c r="C4" s="12" t="s">
        <v>498</v>
      </c>
      <c r="D4" s="12" t="s">
        <v>45</v>
      </c>
      <c r="E4" s="12">
        <f t="shared" ref="E4:E21" si="3">SUM(F4:J4)</f>
        <v>81</v>
      </c>
      <c r="F4" s="13">
        <v>26.0</v>
      </c>
      <c r="G4" s="14">
        <v>23.0</v>
      </c>
      <c r="H4" s="14">
        <v>32.0</v>
      </c>
      <c r="I4" s="13"/>
      <c r="J4" s="12"/>
    </row>
    <row r="5" ht="12.75" customHeight="1">
      <c r="A5" s="10" t="str">
        <f t="shared" si="1"/>
        <v>T</v>
      </c>
      <c r="B5" s="11">
        <f t="shared" si="2"/>
        <v>1</v>
      </c>
      <c r="C5" s="12" t="s">
        <v>499</v>
      </c>
      <c r="D5" s="12" t="s">
        <v>500</v>
      </c>
      <c r="E5" s="12">
        <f t="shared" si="3"/>
        <v>81</v>
      </c>
      <c r="F5" s="13">
        <v>26.0</v>
      </c>
      <c r="G5" s="14">
        <v>23.0</v>
      </c>
      <c r="H5" s="14">
        <v>32.0</v>
      </c>
      <c r="I5" s="13"/>
      <c r="J5" s="12"/>
    </row>
    <row r="6" ht="12.75" customHeight="1">
      <c r="A6" s="10" t="str">
        <f t="shared" si="1"/>
        <v/>
      </c>
      <c r="B6" s="11">
        <f t="shared" si="2"/>
        <v>3</v>
      </c>
      <c r="C6" s="16" t="s">
        <v>501</v>
      </c>
      <c r="D6" s="16" t="s">
        <v>502</v>
      </c>
      <c r="E6" s="12">
        <f t="shared" si="3"/>
        <v>63</v>
      </c>
      <c r="F6" s="13"/>
      <c r="G6" s="14">
        <v>63.0</v>
      </c>
      <c r="H6" s="13"/>
      <c r="I6" s="13"/>
      <c r="J6" s="12"/>
    </row>
    <row r="7" ht="12.75" customHeight="1">
      <c r="A7" s="10" t="str">
        <f t="shared" si="1"/>
        <v>T</v>
      </c>
      <c r="B7" s="11">
        <f t="shared" si="2"/>
        <v>3</v>
      </c>
      <c r="C7" s="16" t="s">
        <v>503</v>
      </c>
      <c r="D7" s="116" t="s">
        <v>504</v>
      </c>
      <c r="E7" s="12">
        <f t="shared" si="3"/>
        <v>63</v>
      </c>
      <c r="F7" s="13"/>
      <c r="G7" s="14">
        <v>63.0</v>
      </c>
      <c r="H7" s="13"/>
      <c r="I7" s="13"/>
      <c r="J7" s="12"/>
    </row>
    <row r="8" ht="12.75" customHeight="1">
      <c r="A8" s="10" t="str">
        <f t="shared" si="1"/>
        <v/>
      </c>
      <c r="B8" s="11">
        <f t="shared" si="2"/>
        <v>5</v>
      </c>
      <c r="C8" s="12" t="s">
        <v>505</v>
      </c>
      <c r="D8" s="12" t="s">
        <v>318</v>
      </c>
      <c r="E8" s="12">
        <f t="shared" si="3"/>
        <v>55</v>
      </c>
      <c r="F8" s="14">
        <v>18.0</v>
      </c>
      <c r="G8" s="14">
        <v>23.0</v>
      </c>
      <c r="H8" s="14">
        <v>14.0</v>
      </c>
      <c r="I8" s="13"/>
      <c r="J8" s="12"/>
    </row>
    <row r="9" ht="12.75" customHeight="1">
      <c r="A9" s="10" t="str">
        <f t="shared" si="1"/>
        <v>T</v>
      </c>
      <c r="B9" s="11">
        <f t="shared" si="2"/>
        <v>5</v>
      </c>
      <c r="C9" s="12" t="s">
        <v>506</v>
      </c>
      <c r="D9" s="12" t="s">
        <v>318</v>
      </c>
      <c r="E9" s="12">
        <f t="shared" si="3"/>
        <v>55</v>
      </c>
      <c r="F9" s="14">
        <v>18.0</v>
      </c>
      <c r="G9" s="14">
        <v>23.0</v>
      </c>
      <c r="H9" s="14">
        <v>14.0</v>
      </c>
      <c r="I9" s="13"/>
      <c r="J9" s="12"/>
    </row>
    <row r="10" ht="12.75" customHeight="1">
      <c r="A10" s="10" t="str">
        <f t="shared" si="1"/>
        <v/>
      </c>
      <c r="B10" s="11">
        <f t="shared" si="2"/>
        <v>7</v>
      </c>
      <c r="C10" s="12" t="s">
        <v>507</v>
      </c>
      <c r="D10" s="12" t="s">
        <v>508</v>
      </c>
      <c r="E10" s="12">
        <f t="shared" si="3"/>
        <v>41</v>
      </c>
      <c r="F10" s="13"/>
      <c r="G10" s="14">
        <v>41.0</v>
      </c>
      <c r="H10" s="13"/>
      <c r="I10" s="13"/>
      <c r="J10" s="12"/>
    </row>
    <row r="11" ht="12.75" customHeight="1">
      <c r="A11" s="10" t="str">
        <f t="shared" si="1"/>
        <v>T</v>
      </c>
      <c r="B11" s="11">
        <f t="shared" si="2"/>
        <v>7</v>
      </c>
      <c r="C11" s="12" t="s">
        <v>509</v>
      </c>
      <c r="D11" s="12" t="s">
        <v>508</v>
      </c>
      <c r="E11" s="12">
        <f t="shared" si="3"/>
        <v>41</v>
      </c>
      <c r="F11" s="13"/>
      <c r="G11" s="14">
        <v>41.0</v>
      </c>
      <c r="H11" s="13"/>
      <c r="I11" s="13"/>
      <c r="J11" s="12"/>
    </row>
    <row r="12" ht="12.75" customHeight="1">
      <c r="A12" s="10" t="str">
        <f t="shared" si="1"/>
        <v/>
      </c>
      <c r="B12" s="11">
        <f t="shared" si="2"/>
        <v>9</v>
      </c>
      <c r="C12" s="99" t="s">
        <v>510</v>
      </c>
      <c r="D12" s="100" t="s">
        <v>318</v>
      </c>
      <c r="E12" s="12">
        <f t="shared" si="3"/>
        <v>36</v>
      </c>
      <c r="F12" s="13"/>
      <c r="G12" s="13"/>
      <c r="H12" s="14">
        <v>14.0</v>
      </c>
      <c r="I12" s="14">
        <v>22.0</v>
      </c>
      <c r="J12" s="12"/>
    </row>
    <row r="13" ht="12.75" customHeight="1">
      <c r="A13" s="10" t="str">
        <f t="shared" si="1"/>
        <v/>
      </c>
      <c r="B13" s="11">
        <f t="shared" si="2"/>
        <v>10</v>
      </c>
      <c r="C13" s="12" t="s">
        <v>511</v>
      </c>
      <c r="D13" s="12" t="s">
        <v>82</v>
      </c>
      <c r="E13" s="12">
        <f t="shared" si="3"/>
        <v>32</v>
      </c>
      <c r="F13" s="13"/>
      <c r="G13" s="13"/>
      <c r="H13" s="13"/>
      <c r="I13" s="14">
        <v>32.0</v>
      </c>
      <c r="J13" s="12"/>
    </row>
    <row r="14" ht="12.75" customHeight="1">
      <c r="A14" s="10" t="str">
        <f t="shared" si="1"/>
        <v/>
      </c>
      <c r="B14" s="11">
        <f t="shared" si="2"/>
        <v>11</v>
      </c>
      <c r="C14" s="12" t="s">
        <v>512</v>
      </c>
      <c r="D14" s="12" t="s">
        <v>508</v>
      </c>
      <c r="E14" s="12">
        <f t="shared" si="3"/>
        <v>22</v>
      </c>
      <c r="F14" s="13"/>
      <c r="G14" s="13"/>
      <c r="H14" s="14">
        <v>22.0</v>
      </c>
      <c r="I14" s="13"/>
      <c r="J14" s="12"/>
    </row>
    <row r="15" ht="12.75" customHeight="1">
      <c r="A15" s="10" t="str">
        <f t="shared" si="1"/>
        <v>T</v>
      </c>
      <c r="B15" s="11">
        <f t="shared" si="2"/>
        <v>11</v>
      </c>
      <c r="C15" s="12" t="s">
        <v>513</v>
      </c>
      <c r="D15" s="12" t="s">
        <v>508</v>
      </c>
      <c r="E15" s="12">
        <f t="shared" si="3"/>
        <v>22</v>
      </c>
      <c r="F15" s="13"/>
      <c r="G15" s="13"/>
      <c r="H15" s="14">
        <v>22.0</v>
      </c>
      <c r="I15" s="13"/>
      <c r="J15" s="12"/>
    </row>
    <row r="16" ht="12.75" customHeight="1">
      <c r="A16" s="10" t="str">
        <f t="shared" si="1"/>
        <v/>
      </c>
      <c r="B16" s="11">
        <f t="shared" si="2"/>
        <v>13</v>
      </c>
      <c r="C16" s="12" t="s">
        <v>514</v>
      </c>
      <c r="D16" s="12" t="s">
        <v>36</v>
      </c>
      <c r="E16" s="12">
        <f t="shared" si="3"/>
        <v>14</v>
      </c>
      <c r="F16" s="13"/>
      <c r="G16" s="13"/>
      <c r="H16" s="14">
        <v>14.0</v>
      </c>
      <c r="I16" s="13"/>
      <c r="J16" s="12"/>
    </row>
    <row r="17" ht="12.75" customHeight="1">
      <c r="A17" s="10" t="str">
        <f t="shared" si="1"/>
        <v>T</v>
      </c>
      <c r="B17" s="11">
        <f t="shared" si="2"/>
        <v>13</v>
      </c>
      <c r="C17" s="12" t="s">
        <v>515</v>
      </c>
      <c r="D17" s="12" t="s">
        <v>82</v>
      </c>
      <c r="E17" s="12">
        <f t="shared" si="3"/>
        <v>14</v>
      </c>
      <c r="F17" s="13"/>
      <c r="G17" s="13"/>
      <c r="H17" s="13"/>
      <c r="I17" s="14">
        <v>14.0</v>
      </c>
      <c r="J17" s="12"/>
    </row>
    <row r="18" ht="12.75" customHeight="1">
      <c r="A18" s="10" t="str">
        <f t="shared" si="1"/>
        <v/>
      </c>
      <c r="B18" s="11">
        <f t="shared" si="2"/>
        <v>15</v>
      </c>
      <c r="C18" s="12" t="s">
        <v>516</v>
      </c>
      <c r="D18" s="12" t="s">
        <v>517</v>
      </c>
      <c r="E18" s="12">
        <f t="shared" si="3"/>
        <v>12</v>
      </c>
      <c r="F18" s="14">
        <v>12.0</v>
      </c>
      <c r="G18" s="13"/>
      <c r="H18" s="13"/>
      <c r="I18" s="13"/>
      <c r="J18" s="12"/>
    </row>
    <row r="19" ht="12.75" customHeight="1">
      <c r="A19" s="10" t="str">
        <f t="shared" si="1"/>
        <v>T</v>
      </c>
      <c r="B19" s="11">
        <f t="shared" si="2"/>
        <v>15</v>
      </c>
      <c r="C19" s="12" t="s">
        <v>518</v>
      </c>
      <c r="D19" s="12" t="s">
        <v>439</v>
      </c>
      <c r="E19" s="12">
        <f t="shared" si="3"/>
        <v>12</v>
      </c>
      <c r="F19" s="14">
        <v>12.0</v>
      </c>
      <c r="G19" s="13"/>
      <c r="H19" s="13"/>
      <c r="I19" s="13"/>
      <c r="J19" s="12"/>
    </row>
    <row r="20" ht="12.75" customHeight="1">
      <c r="A20" s="10" t="str">
        <f t="shared" si="1"/>
        <v/>
      </c>
      <c r="B20" s="11">
        <f t="shared" si="2"/>
        <v>17</v>
      </c>
      <c r="C20" s="16" t="s">
        <v>519</v>
      </c>
      <c r="D20" s="12" t="s">
        <v>82</v>
      </c>
      <c r="E20" s="12">
        <f t="shared" si="3"/>
        <v>8</v>
      </c>
      <c r="F20" s="13"/>
      <c r="G20" s="13"/>
      <c r="H20" s="13"/>
      <c r="I20" s="14">
        <v>8.0</v>
      </c>
      <c r="J20" s="12"/>
    </row>
    <row r="21" ht="12.75" customHeight="1">
      <c r="A21" s="10" t="str">
        <f t="shared" si="1"/>
        <v>T</v>
      </c>
      <c r="B21" s="11">
        <f t="shared" si="2"/>
        <v>17</v>
      </c>
      <c r="C21" s="16" t="s">
        <v>469</v>
      </c>
      <c r="D21" s="16" t="s">
        <v>470</v>
      </c>
      <c r="E21" s="12">
        <f t="shared" si="3"/>
        <v>8</v>
      </c>
      <c r="F21" s="13"/>
      <c r="G21" s="13"/>
      <c r="H21" s="13"/>
      <c r="I21" s="14">
        <v>8.0</v>
      </c>
      <c r="J21" s="12"/>
    </row>
    <row r="22" ht="12.75" customHeight="1">
      <c r="A22" s="10"/>
      <c r="B22" s="11"/>
      <c r="C22" s="12"/>
      <c r="D22" s="12"/>
      <c r="E22" s="12"/>
      <c r="F22" s="13"/>
      <c r="G22" s="13"/>
      <c r="H22" s="13"/>
      <c r="I22" s="13"/>
      <c r="J22" s="12"/>
    </row>
    <row r="23" ht="12.75" customHeight="1">
      <c r="A23" s="10"/>
      <c r="B23" s="11"/>
      <c r="C23" s="12"/>
      <c r="D23" s="12"/>
      <c r="E23" s="12"/>
      <c r="F23" s="13"/>
      <c r="G23" s="13"/>
      <c r="H23" s="13"/>
      <c r="I23" s="13"/>
      <c r="J23" s="12"/>
    </row>
    <row r="24" ht="12.75" customHeight="1">
      <c r="A24" s="10"/>
      <c r="B24" s="11"/>
      <c r="C24" s="12"/>
      <c r="D24" s="12"/>
      <c r="E24" s="12"/>
      <c r="F24" s="13"/>
      <c r="G24" s="13"/>
      <c r="H24" s="13"/>
      <c r="I24" s="13"/>
      <c r="J24" s="12"/>
    </row>
    <row r="25" ht="12.75" customHeight="1">
      <c r="A25" s="10"/>
      <c r="B25" s="11"/>
      <c r="C25" s="12"/>
      <c r="D25" s="12"/>
      <c r="E25" s="12"/>
      <c r="F25" s="13"/>
      <c r="G25" s="13"/>
      <c r="H25" s="13"/>
      <c r="I25" s="13"/>
      <c r="J25" s="12"/>
    </row>
    <row r="26" ht="12.75" customHeight="1">
      <c r="A26" s="10"/>
      <c r="B26" s="11"/>
      <c r="C26" s="16"/>
      <c r="D26" s="12"/>
      <c r="E26" s="12"/>
      <c r="F26" s="13"/>
      <c r="G26" s="13"/>
      <c r="H26" s="13"/>
      <c r="I26" s="13"/>
      <c r="J26" s="12"/>
    </row>
    <row r="27" ht="12.75" customHeight="1">
      <c r="A27" s="10"/>
      <c r="B27" s="11"/>
      <c r="C27" s="12"/>
      <c r="D27" s="12"/>
      <c r="E27" s="12"/>
      <c r="F27" s="13"/>
      <c r="G27" s="13"/>
      <c r="H27" s="13"/>
      <c r="I27" s="13"/>
      <c r="J27" s="12"/>
    </row>
    <row r="28" ht="12.75" customHeight="1">
      <c r="A28" s="10"/>
      <c r="B28" s="11"/>
      <c r="C28" s="12"/>
      <c r="D28" s="12"/>
      <c r="E28" s="12"/>
      <c r="F28" s="13"/>
      <c r="G28" s="13"/>
      <c r="H28" s="13"/>
      <c r="I28" s="13"/>
      <c r="J28" s="12"/>
    </row>
    <row r="29" ht="12.75" customHeight="1">
      <c r="A29" s="10"/>
      <c r="B29" s="11"/>
      <c r="C29" s="12"/>
      <c r="D29" s="12"/>
      <c r="E29" s="12"/>
      <c r="F29" s="13"/>
      <c r="G29" s="13"/>
      <c r="H29" s="13"/>
      <c r="I29" s="13"/>
      <c r="J29" s="12"/>
    </row>
    <row r="30" ht="12.75" customHeight="1">
      <c r="A30" s="10"/>
      <c r="B30" s="11"/>
      <c r="C30" s="12"/>
      <c r="D30" s="12"/>
      <c r="E30" s="12"/>
      <c r="F30" s="13"/>
      <c r="G30" s="13"/>
      <c r="H30" s="13"/>
      <c r="I30" s="13"/>
      <c r="J30" s="12"/>
    </row>
    <row r="31" ht="12.75" customHeight="1">
      <c r="A31" s="10"/>
      <c r="B31" s="11"/>
      <c r="C31" s="12"/>
      <c r="D31" s="12"/>
      <c r="E31" s="12"/>
      <c r="F31" s="13"/>
      <c r="G31" s="13"/>
      <c r="H31" s="13"/>
      <c r="I31" s="13"/>
      <c r="J31" s="12"/>
    </row>
    <row r="32" ht="12.75" customHeight="1">
      <c r="A32" s="10"/>
      <c r="B32" s="11"/>
      <c r="C32" s="12"/>
      <c r="D32" s="12"/>
      <c r="E32" s="12"/>
      <c r="F32" s="13"/>
      <c r="G32" s="13"/>
      <c r="H32" s="13"/>
      <c r="I32" s="13"/>
      <c r="J32" s="12"/>
    </row>
    <row r="33" ht="12.75" customHeight="1">
      <c r="A33" s="10"/>
      <c r="B33" s="11"/>
      <c r="C33" s="12"/>
      <c r="D33" s="12"/>
      <c r="E33" s="12"/>
      <c r="F33" s="13"/>
      <c r="G33" s="13"/>
      <c r="H33" s="13"/>
      <c r="I33" s="13"/>
      <c r="J33" s="12"/>
    </row>
    <row r="34" ht="12.75" customHeight="1">
      <c r="A34" s="10"/>
      <c r="B34" s="11"/>
      <c r="C34" s="12"/>
      <c r="D34" s="12"/>
      <c r="E34" s="12"/>
      <c r="F34" s="13"/>
      <c r="G34" s="13"/>
      <c r="H34" s="13"/>
      <c r="I34" s="13"/>
      <c r="J34" s="12"/>
    </row>
    <row r="35" ht="12.75" customHeight="1">
      <c r="A35" s="10"/>
      <c r="B35" s="11"/>
      <c r="C35" s="12"/>
      <c r="D35" s="12"/>
      <c r="E35" s="12"/>
      <c r="F35" s="13"/>
      <c r="G35" s="13"/>
      <c r="H35" s="13"/>
      <c r="I35" s="13"/>
      <c r="J35" s="12"/>
    </row>
    <row r="36" ht="12.75" customHeight="1">
      <c r="A36" s="10"/>
      <c r="B36" s="11"/>
      <c r="C36" s="12"/>
      <c r="D36" s="12"/>
      <c r="E36" s="12"/>
      <c r="F36" s="13"/>
      <c r="G36" s="13"/>
      <c r="H36" s="13"/>
      <c r="I36" s="13"/>
      <c r="J36" s="12"/>
    </row>
    <row r="37" ht="12.75" customHeight="1">
      <c r="A37" s="10"/>
      <c r="B37" s="11"/>
      <c r="C37" s="12"/>
      <c r="D37" s="12"/>
      <c r="E37" s="12"/>
      <c r="F37" s="13"/>
      <c r="G37" s="13"/>
      <c r="H37" s="13"/>
      <c r="I37" s="13"/>
      <c r="J37" s="12"/>
    </row>
    <row r="38" ht="12.75" customHeight="1">
      <c r="A38" s="10"/>
      <c r="B38" s="11"/>
      <c r="C38" s="12"/>
      <c r="D38" s="12"/>
      <c r="E38" s="12"/>
      <c r="F38" s="13"/>
      <c r="G38" s="13"/>
      <c r="H38" s="13"/>
      <c r="I38" s="13"/>
      <c r="J38" s="12"/>
    </row>
    <row r="39" ht="12.75" customHeight="1"/>
    <row r="40" ht="12.75" customHeight="1">
      <c r="A40" s="19" t="s">
        <v>137</v>
      </c>
      <c r="B40" s="20"/>
      <c r="C40" s="21" t="s">
        <v>138</v>
      </c>
      <c r="D40" s="22"/>
      <c r="E40" s="22"/>
      <c r="F40" s="22"/>
      <c r="G40" s="22"/>
      <c r="H40" s="22"/>
      <c r="I40" s="22"/>
      <c r="J40" s="23"/>
    </row>
    <row r="41" ht="12.75" customHeight="1">
      <c r="A41" s="19" t="s">
        <v>137</v>
      </c>
      <c r="B41" s="24"/>
      <c r="C41" s="25" t="s">
        <v>139</v>
      </c>
      <c r="D41" s="22"/>
      <c r="E41" s="22"/>
      <c r="F41" s="22"/>
      <c r="G41" s="22"/>
      <c r="H41" s="22"/>
      <c r="I41" s="22"/>
      <c r="J41" s="2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2:J2"/>
    <mergeCell ref="A3:B3"/>
    <mergeCell ref="C40:J40"/>
    <mergeCell ref="C41:J41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25"/>
    <col customWidth="1" min="3" max="3" width="12.38"/>
    <col customWidth="1" min="4" max="4" width="19.5"/>
    <col customWidth="1" min="5" max="5" width="5.25"/>
    <col customWidth="1" min="6" max="6" width="9.38"/>
    <col customWidth="1" min="7" max="7" width="11.38"/>
    <col customWidth="1" min="8" max="8" width="12.25"/>
    <col customWidth="1" min="9" max="15" width="8.0"/>
  </cols>
  <sheetData>
    <row r="1" ht="16.5" customHeight="1">
      <c r="B1" s="26" t="s">
        <v>520</v>
      </c>
      <c r="C1" s="95"/>
      <c r="D1" s="95"/>
      <c r="E1" s="95"/>
      <c r="F1" s="95"/>
    </row>
    <row r="2" ht="12.75" customHeight="1">
      <c r="A2" s="27"/>
      <c r="B2" s="28"/>
      <c r="C2" s="27"/>
      <c r="D2" s="5"/>
      <c r="E2" s="117"/>
      <c r="F2" s="42" t="s">
        <v>141</v>
      </c>
      <c r="G2" s="34"/>
      <c r="H2" s="35"/>
    </row>
    <row r="3" ht="12.75" customHeight="1">
      <c r="A3" s="30" t="s">
        <v>1</v>
      </c>
      <c r="B3" s="31"/>
      <c r="C3" s="30" t="s">
        <v>2</v>
      </c>
      <c r="D3" s="32" t="s">
        <v>3</v>
      </c>
      <c r="E3" s="118" t="s">
        <v>4</v>
      </c>
      <c r="F3" s="29"/>
      <c r="G3" s="12"/>
      <c r="H3" s="12"/>
    </row>
    <row r="4" ht="12.75" customHeight="1">
      <c r="A4" s="10"/>
      <c r="B4" s="11"/>
      <c r="C4" s="12"/>
      <c r="D4" s="12"/>
      <c r="E4" s="12"/>
      <c r="F4" s="13"/>
      <c r="G4" s="84"/>
      <c r="H4" s="84"/>
    </row>
    <row r="5" ht="12.75" customHeight="1">
      <c r="A5" s="10"/>
      <c r="B5" s="11"/>
      <c r="C5" s="12"/>
      <c r="D5" s="12"/>
      <c r="E5" s="12"/>
      <c r="F5" s="13"/>
      <c r="G5" s="84"/>
      <c r="H5" s="84"/>
    </row>
    <row r="6" ht="12.75" customHeight="1">
      <c r="A6" s="10"/>
      <c r="B6" s="11"/>
      <c r="C6" s="12"/>
      <c r="D6" s="12"/>
      <c r="E6" s="12"/>
      <c r="F6" s="13"/>
      <c r="G6" s="84"/>
      <c r="H6" s="84"/>
    </row>
    <row r="7" ht="12.75" customHeight="1">
      <c r="A7" s="10"/>
      <c r="B7" s="11"/>
      <c r="C7" s="12"/>
      <c r="D7" s="12"/>
      <c r="E7" s="12"/>
      <c r="F7" s="13"/>
      <c r="G7" s="84"/>
      <c r="H7" s="84"/>
    </row>
    <row r="8" ht="12.75" customHeight="1">
      <c r="A8" s="10"/>
      <c r="B8" s="11"/>
      <c r="C8" s="12"/>
      <c r="D8" s="12"/>
      <c r="E8" s="12"/>
      <c r="F8" s="13"/>
      <c r="G8" s="84"/>
      <c r="H8" s="84"/>
    </row>
    <row r="9" ht="12.75" customHeight="1">
      <c r="A9" s="10"/>
      <c r="B9" s="11"/>
      <c r="C9" s="12"/>
      <c r="D9" s="12"/>
      <c r="E9" s="12"/>
      <c r="F9" s="13"/>
      <c r="G9" s="84"/>
      <c r="H9" s="84"/>
    </row>
    <row r="10" ht="12.75" customHeight="1"/>
    <row r="11" ht="12.75" customHeight="1">
      <c r="A11" s="19" t="s">
        <v>137</v>
      </c>
      <c r="B11" s="20"/>
      <c r="C11" s="21" t="s">
        <v>138</v>
      </c>
      <c r="D11" s="22"/>
      <c r="E11" s="22"/>
      <c r="F11" s="22"/>
      <c r="G11" s="22"/>
      <c r="H11" s="23"/>
    </row>
    <row r="12" ht="12.75" customHeight="1">
      <c r="A12" s="19" t="s">
        <v>137</v>
      </c>
      <c r="B12" s="24"/>
      <c r="C12" s="25" t="s">
        <v>139</v>
      </c>
      <c r="D12" s="22"/>
      <c r="E12" s="22"/>
      <c r="F12" s="22"/>
      <c r="G12" s="22"/>
      <c r="H12" s="23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2:H2"/>
    <mergeCell ref="A3:B3"/>
    <mergeCell ref="C11:H11"/>
    <mergeCell ref="C12:H1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.88"/>
    <col customWidth="1" min="3" max="3" width="14.38"/>
    <col customWidth="1" min="4" max="4" width="14.75"/>
    <col customWidth="1" min="5" max="5" width="5.25"/>
    <col customWidth="1" min="6" max="7" width="8.38"/>
    <col customWidth="1" min="8" max="8" width="7.38"/>
    <col customWidth="1" min="9" max="9" width="7.13"/>
    <col customWidth="1" min="10" max="16" width="8.0"/>
  </cols>
  <sheetData>
    <row r="1" ht="16.5" customHeight="1">
      <c r="B1" s="26" t="s">
        <v>521</v>
      </c>
      <c r="C1" s="95"/>
      <c r="D1" s="95"/>
      <c r="E1" s="95"/>
      <c r="F1" s="95"/>
      <c r="G1" s="95"/>
    </row>
    <row r="2" ht="12.75" customHeight="1">
      <c r="A2" s="27"/>
      <c r="B2" s="28"/>
      <c r="C2" s="28"/>
      <c r="D2" s="5"/>
      <c r="E2" s="5"/>
      <c r="F2" s="42" t="s">
        <v>141</v>
      </c>
      <c r="G2" s="34"/>
      <c r="H2" s="34"/>
      <c r="I2" s="35"/>
    </row>
    <row r="3" ht="12.75" customHeight="1">
      <c r="A3" s="30" t="s">
        <v>1</v>
      </c>
      <c r="B3" s="31"/>
      <c r="C3" s="96" t="s">
        <v>2</v>
      </c>
      <c r="D3" s="32" t="s">
        <v>3</v>
      </c>
      <c r="E3" s="32" t="s">
        <v>4</v>
      </c>
      <c r="F3" s="44" t="s">
        <v>5</v>
      </c>
      <c r="G3" s="44" t="s">
        <v>7</v>
      </c>
      <c r="H3" s="29" t="s">
        <v>11</v>
      </c>
      <c r="I3" s="29" t="s">
        <v>352</v>
      </c>
    </row>
    <row r="4" ht="12.75" customHeight="1">
      <c r="A4" s="10" t="str">
        <f t="shared" ref="A4:A17" si="1">IF(B4=B3,"T","")</f>
        <v/>
      </c>
      <c r="B4" s="11">
        <f t="shared" ref="B4:B17" si="2">RANK(E4,$E$4:$E$20,0)</f>
        <v>1</v>
      </c>
      <c r="C4" s="99" t="s">
        <v>423</v>
      </c>
      <c r="D4" s="99" t="s">
        <v>51</v>
      </c>
      <c r="E4" s="100">
        <f t="shared" ref="E4:E17" si="3">SUM(F4:I4)</f>
        <v>33</v>
      </c>
      <c r="F4" s="102"/>
      <c r="G4" s="102"/>
      <c r="H4" s="101">
        <v>7.0</v>
      </c>
      <c r="I4" s="101">
        <v>26.0</v>
      </c>
    </row>
    <row r="5" ht="12.75" customHeight="1">
      <c r="A5" s="10" t="str">
        <f t="shared" si="1"/>
        <v/>
      </c>
      <c r="B5" s="11">
        <f t="shared" si="2"/>
        <v>2</v>
      </c>
      <c r="C5" s="100" t="s">
        <v>487</v>
      </c>
      <c r="D5" s="99" t="s">
        <v>32</v>
      </c>
      <c r="E5" s="100">
        <f t="shared" si="3"/>
        <v>30</v>
      </c>
      <c r="F5" s="102"/>
      <c r="G5" s="101">
        <v>12.0</v>
      </c>
      <c r="H5" s="102"/>
      <c r="I5" s="101">
        <v>18.0</v>
      </c>
    </row>
    <row r="6" ht="12.75" customHeight="1">
      <c r="A6" s="10" t="str">
        <f t="shared" si="1"/>
        <v/>
      </c>
      <c r="B6" s="11">
        <f t="shared" si="2"/>
        <v>3</v>
      </c>
      <c r="C6" s="99" t="s">
        <v>409</v>
      </c>
      <c r="D6" s="99" t="s">
        <v>34</v>
      </c>
      <c r="E6" s="100">
        <f t="shared" si="3"/>
        <v>26</v>
      </c>
      <c r="F6" s="102"/>
      <c r="G6" s="102"/>
      <c r="H6" s="101">
        <v>26.0</v>
      </c>
      <c r="I6" s="102"/>
    </row>
    <row r="7" ht="12.75" customHeight="1">
      <c r="A7" s="10" t="str">
        <f t="shared" si="1"/>
        <v/>
      </c>
      <c r="B7" s="11">
        <f t="shared" si="2"/>
        <v>4</v>
      </c>
      <c r="C7" s="100" t="s">
        <v>522</v>
      </c>
      <c r="D7" s="100" t="s">
        <v>523</v>
      </c>
      <c r="E7" s="100">
        <f t="shared" si="3"/>
        <v>18</v>
      </c>
      <c r="F7" s="102"/>
      <c r="G7" s="102"/>
      <c r="H7" s="101">
        <v>18.0</v>
      </c>
      <c r="I7" s="102"/>
    </row>
    <row r="8" ht="12.75" customHeight="1">
      <c r="A8" s="10" t="str">
        <f t="shared" si="1"/>
        <v/>
      </c>
      <c r="B8" s="11">
        <f t="shared" si="2"/>
        <v>5</v>
      </c>
      <c r="C8" s="100" t="s">
        <v>424</v>
      </c>
      <c r="D8" s="100" t="s">
        <v>32</v>
      </c>
      <c r="E8" s="100">
        <f t="shared" si="3"/>
        <v>17</v>
      </c>
      <c r="F8" s="102"/>
      <c r="G8" s="101">
        <v>17.0</v>
      </c>
      <c r="H8" s="102"/>
      <c r="I8" s="102"/>
    </row>
    <row r="9" ht="12.75" customHeight="1">
      <c r="A9" s="10" t="str">
        <f t="shared" si="1"/>
        <v>T</v>
      </c>
      <c r="B9" s="11">
        <f t="shared" si="2"/>
        <v>5</v>
      </c>
      <c r="C9" s="100" t="s">
        <v>460</v>
      </c>
      <c r="D9" s="100" t="s">
        <v>461</v>
      </c>
      <c r="E9" s="100">
        <f t="shared" si="3"/>
        <v>17</v>
      </c>
      <c r="F9" s="101">
        <v>17.0</v>
      </c>
      <c r="G9" s="102"/>
      <c r="H9" s="102"/>
      <c r="I9" s="102"/>
    </row>
    <row r="10" ht="12.75" customHeight="1">
      <c r="A10" s="10" t="str">
        <f t="shared" si="1"/>
        <v/>
      </c>
      <c r="B10" s="11">
        <f t="shared" si="2"/>
        <v>7</v>
      </c>
      <c r="C10" s="12" t="s">
        <v>513</v>
      </c>
      <c r="D10" s="12" t="s">
        <v>508</v>
      </c>
      <c r="E10" s="100">
        <f t="shared" si="3"/>
        <v>12</v>
      </c>
      <c r="F10" s="101">
        <v>12.0</v>
      </c>
      <c r="G10" s="102"/>
      <c r="H10" s="102"/>
      <c r="I10" s="102"/>
    </row>
    <row r="11" ht="12.75" customHeight="1">
      <c r="A11" s="10" t="str">
        <f t="shared" si="1"/>
        <v>T</v>
      </c>
      <c r="B11" s="11">
        <f t="shared" si="2"/>
        <v>7</v>
      </c>
      <c r="C11" s="99" t="s">
        <v>510</v>
      </c>
      <c r="D11" s="100" t="s">
        <v>318</v>
      </c>
      <c r="E11" s="100">
        <f t="shared" si="3"/>
        <v>12</v>
      </c>
      <c r="F11" s="102"/>
      <c r="G11" s="101"/>
      <c r="H11" s="101">
        <v>12.0</v>
      </c>
      <c r="I11" s="102"/>
    </row>
    <row r="12" ht="12.75" customHeight="1">
      <c r="A12" s="10" t="str">
        <f t="shared" si="1"/>
        <v>T</v>
      </c>
      <c r="B12" s="11">
        <f t="shared" si="2"/>
        <v>7</v>
      </c>
      <c r="C12" s="99" t="s">
        <v>524</v>
      </c>
      <c r="D12" s="99" t="s">
        <v>419</v>
      </c>
      <c r="E12" s="100">
        <f t="shared" si="3"/>
        <v>12</v>
      </c>
      <c r="F12" s="102"/>
      <c r="G12" s="101"/>
      <c r="H12" s="102"/>
      <c r="I12" s="101">
        <v>12.0</v>
      </c>
    </row>
    <row r="13" ht="12.75" customHeight="1">
      <c r="A13" s="10" t="str">
        <f t="shared" si="1"/>
        <v/>
      </c>
      <c r="B13" s="11">
        <f t="shared" si="2"/>
        <v>10</v>
      </c>
      <c r="C13" s="100" t="s">
        <v>512</v>
      </c>
      <c r="D13" s="100" t="s">
        <v>508</v>
      </c>
      <c r="E13" s="100">
        <f t="shared" si="3"/>
        <v>7</v>
      </c>
      <c r="F13" s="102"/>
      <c r="G13" s="102"/>
      <c r="H13" s="101">
        <v>7.0</v>
      </c>
      <c r="I13" s="102"/>
    </row>
    <row r="14" ht="12.75" customHeight="1">
      <c r="A14" s="10" t="str">
        <f t="shared" si="1"/>
        <v>T</v>
      </c>
      <c r="B14" s="11">
        <f t="shared" si="2"/>
        <v>10</v>
      </c>
      <c r="C14" s="100" t="s">
        <v>509</v>
      </c>
      <c r="D14" s="100" t="s">
        <v>36</v>
      </c>
      <c r="E14" s="100">
        <f t="shared" si="3"/>
        <v>7</v>
      </c>
      <c r="F14" s="101">
        <v>7.0</v>
      </c>
      <c r="G14" s="102"/>
      <c r="H14" s="102"/>
      <c r="I14" s="102"/>
    </row>
    <row r="15" ht="12.75" customHeight="1">
      <c r="A15" s="10" t="str">
        <f t="shared" si="1"/>
        <v>T</v>
      </c>
      <c r="B15" s="11">
        <f t="shared" si="2"/>
        <v>10</v>
      </c>
      <c r="C15" s="99" t="s">
        <v>525</v>
      </c>
      <c r="D15" s="99" t="s">
        <v>265</v>
      </c>
      <c r="E15" s="100">
        <f t="shared" si="3"/>
        <v>7</v>
      </c>
      <c r="F15" s="102"/>
      <c r="G15" s="101">
        <v>7.0</v>
      </c>
      <c r="H15" s="102"/>
      <c r="I15" s="102"/>
    </row>
    <row r="16" ht="12.75" customHeight="1">
      <c r="A16" s="10" t="str">
        <f t="shared" si="1"/>
        <v>T</v>
      </c>
      <c r="B16" s="11">
        <f t="shared" si="2"/>
        <v>10</v>
      </c>
      <c r="C16" s="99" t="s">
        <v>526</v>
      </c>
      <c r="D16" s="99" t="s">
        <v>265</v>
      </c>
      <c r="E16" s="100">
        <f t="shared" si="3"/>
        <v>7</v>
      </c>
      <c r="F16" s="102"/>
      <c r="G16" s="101">
        <v>7.0</v>
      </c>
      <c r="H16" s="102"/>
      <c r="I16" s="102"/>
    </row>
    <row r="17" ht="12.75" customHeight="1">
      <c r="A17" s="10" t="str">
        <f t="shared" si="1"/>
        <v>T</v>
      </c>
      <c r="B17" s="11">
        <f t="shared" si="2"/>
        <v>10</v>
      </c>
      <c r="C17" s="99" t="s">
        <v>527</v>
      </c>
      <c r="D17" s="99" t="s">
        <v>32</v>
      </c>
      <c r="E17" s="100">
        <f t="shared" si="3"/>
        <v>7</v>
      </c>
      <c r="F17" s="102"/>
      <c r="G17" s="101"/>
      <c r="H17" s="102"/>
      <c r="I17" s="101">
        <v>7.0</v>
      </c>
    </row>
    <row r="18" ht="12.75" customHeight="1">
      <c r="A18" s="10"/>
      <c r="B18" s="11"/>
      <c r="C18" s="100"/>
      <c r="D18" s="100"/>
      <c r="E18" s="100"/>
      <c r="F18" s="102"/>
      <c r="G18" s="102"/>
      <c r="H18" s="102"/>
      <c r="I18" s="102"/>
    </row>
    <row r="19" ht="12.75" customHeight="1">
      <c r="A19" s="10"/>
      <c r="B19" s="11"/>
      <c r="C19" s="100"/>
      <c r="D19" s="100"/>
      <c r="E19" s="100"/>
      <c r="F19" s="102"/>
      <c r="G19" s="102"/>
      <c r="H19" s="102"/>
      <c r="I19" s="102"/>
    </row>
    <row r="20" ht="12.75" customHeight="1">
      <c r="A20" s="10"/>
      <c r="B20" s="11"/>
      <c r="C20" s="100"/>
      <c r="D20" s="99"/>
      <c r="E20" s="100"/>
      <c r="F20" s="102"/>
      <c r="G20" s="102"/>
      <c r="H20" s="102"/>
      <c r="I20" s="102"/>
    </row>
    <row r="21" ht="12.75" customHeight="1"/>
    <row r="22" ht="12.75" customHeight="1">
      <c r="A22" s="19" t="s">
        <v>137</v>
      </c>
      <c r="B22" s="20"/>
      <c r="C22" s="21" t="s">
        <v>138</v>
      </c>
      <c r="D22" s="22"/>
      <c r="E22" s="22"/>
      <c r="F22" s="22"/>
      <c r="G22" s="22"/>
      <c r="H22" s="22"/>
      <c r="I22" s="23"/>
    </row>
    <row r="23" ht="12.75" customHeight="1">
      <c r="A23" s="19" t="s">
        <v>137</v>
      </c>
      <c r="B23" s="24"/>
      <c r="C23" s="25" t="s">
        <v>139</v>
      </c>
      <c r="D23" s="22"/>
      <c r="E23" s="22"/>
      <c r="F23" s="22"/>
      <c r="G23" s="22"/>
      <c r="H23" s="22"/>
      <c r="I23" s="23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2:I2"/>
    <mergeCell ref="A3:B3"/>
    <mergeCell ref="C22:I22"/>
    <mergeCell ref="C23:I23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6.5"/>
    <col customWidth="1" min="3" max="3" width="12.38"/>
    <col customWidth="1" min="4" max="4" width="15.88"/>
    <col customWidth="1" min="5" max="5" width="5.25"/>
    <col customWidth="1" min="6" max="8" width="8.13"/>
    <col customWidth="1" min="9" max="15" width="8.0"/>
  </cols>
  <sheetData>
    <row r="1" ht="16.5" customHeight="1">
      <c r="B1" s="26" t="s">
        <v>528</v>
      </c>
      <c r="C1" s="95"/>
      <c r="D1" s="95"/>
      <c r="E1" s="95"/>
      <c r="F1" s="95"/>
      <c r="G1" s="95"/>
      <c r="H1" s="95"/>
    </row>
    <row r="2" ht="12.75" customHeight="1">
      <c r="A2" s="27"/>
      <c r="B2" s="28"/>
      <c r="C2" s="27"/>
      <c r="D2" s="5"/>
      <c r="E2" s="117"/>
      <c r="F2" s="42" t="s">
        <v>141</v>
      </c>
      <c r="G2" s="34"/>
      <c r="H2" s="35"/>
    </row>
    <row r="3" ht="12.75" customHeight="1">
      <c r="A3" s="30" t="s">
        <v>1</v>
      </c>
      <c r="B3" s="31"/>
      <c r="C3" s="30" t="s">
        <v>2</v>
      </c>
      <c r="D3" s="32" t="s">
        <v>3</v>
      </c>
      <c r="E3" s="118" t="s">
        <v>4</v>
      </c>
      <c r="F3" s="44" t="s">
        <v>5</v>
      </c>
      <c r="G3" s="29"/>
      <c r="H3" s="29"/>
    </row>
    <row r="4" ht="12.75" customHeight="1">
      <c r="A4" s="10" t="str">
        <f t="shared" ref="A4:A5" si="1">IF(B4=B3,"T","")</f>
        <v/>
      </c>
      <c r="B4" s="11">
        <f t="shared" ref="B4:B5" si="2">RANK(E4,$E$4:$E$12,0)</f>
        <v>1</v>
      </c>
      <c r="C4" s="100" t="s">
        <v>529</v>
      </c>
      <c r="D4" s="100" t="s">
        <v>477</v>
      </c>
      <c r="E4" s="12">
        <f t="shared" ref="E4:E5" si="3">SUM(F4:H4)</f>
        <v>17</v>
      </c>
      <c r="F4" s="101">
        <v>17.0</v>
      </c>
      <c r="G4" s="102"/>
      <c r="H4" s="12"/>
    </row>
    <row r="5" ht="12.75" customHeight="1">
      <c r="A5" s="10" t="str">
        <f t="shared" si="1"/>
        <v>T</v>
      </c>
      <c r="B5" s="11">
        <f t="shared" si="2"/>
        <v>1</v>
      </c>
      <c r="C5" s="100" t="s">
        <v>530</v>
      </c>
      <c r="D5" s="100" t="s">
        <v>477</v>
      </c>
      <c r="E5" s="12">
        <f t="shared" si="3"/>
        <v>17</v>
      </c>
      <c r="F5" s="101">
        <v>17.0</v>
      </c>
      <c r="G5" s="102"/>
      <c r="H5" s="12"/>
    </row>
    <row r="6" ht="12.75" customHeight="1">
      <c r="A6" s="10"/>
      <c r="B6" s="11"/>
      <c r="C6" s="12"/>
      <c r="D6" s="12"/>
      <c r="E6" s="12"/>
      <c r="F6" s="102"/>
      <c r="G6" s="102"/>
      <c r="H6" s="12"/>
    </row>
    <row r="7" ht="12.75" customHeight="1">
      <c r="A7" s="10"/>
      <c r="B7" s="11"/>
      <c r="C7" s="100"/>
      <c r="D7" s="100"/>
      <c r="E7" s="12"/>
      <c r="F7" s="102"/>
      <c r="G7" s="102"/>
      <c r="H7" s="12"/>
    </row>
    <row r="8" ht="12.75" customHeight="1">
      <c r="A8" s="10"/>
      <c r="B8" s="11"/>
      <c r="C8" s="12"/>
      <c r="D8" s="12"/>
      <c r="E8" s="12"/>
      <c r="F8" s="102"/>
      <c r="G8" s="102"/>
      <c r="H8" s="12"/>
    </row>
    <row r="9" ht="12.75" customHeight="1">
      <c r="A9" s="10"/>
      <c r="B9" s="11"/>
      <c r="C9" s="12"/>
      <c r="D9" s="12"/>
      <c r="E9" s="12"/>
      <c r="F9" s="102"/>
      <c r="G9" s="102"/>
      <c r="H9" s="12"/>
    </row>
    <row r="10" ht="12.75" customHeight="1">
      <c r="A10" s="10"/>
      <c r="B10" s="11"/>
      <c r="C10" s="12"/>
      <c r="D10" s="12"/>
      <c r="E10" s="12"/>
      <c r="F10" s="102"/>
      <c r="G10" s="102"/>
      <c r="H10" s="12"/>
    </row>
    <row r="11" ht="12.75" customHeight="1">
      <c r="A11" s="10"/>
      <c r="B11" s="11"/>
      <c r="C11" s="12"/>
      <c r="D11" s="12"/>
      <c r="E11" s="12"/>
      <c r="F11" s="102"/>
      <c r="G11" s="102"/>
      <c r="H11" s="12"/>
    </row>
    <row r="12" ht="12.75" customHeight="1">
      <c r="A12" s="10"/>
      <c r="B12" s="11"/>
      <c r="C12" s="12"/>
      <c r="D12" s="12"/>
      <c r="E12" s="12"/>
      <c r="F12" s="102"/>
      <c r="G12" s="102"/>
      <c r="H12" s="12"/>
    </row>
    <row r="13" ht="12.75" customHeight="1"/>
    <row r="14" ht="12.75" customHeight="1">
      <c r="A14" s="19" t="s">
        <v>137</v>
      </c>
      <c r="B14" s="20"/>
      <c r="C14" s="21" t="s">
        <v>138</v>
      </c>
      <c r="D14" s="22"/>
      <c r="E14" s="22"/>
      <c r="F14" s="22"/>
      <c r="G14" s="22"/>
      <c r="H14" s="23"/>
    </row>
    <row r="15" ht="12.75" customHeight="1">
      <c r="A15" s="19" t="s">
        <v>137</v>
      </c>
      <c r="B15" s="24"/>
      <c r="C15" s="25" t="s">
        <v>139</v>
      </c>
      <c r="D15" s="22"/>
      <c r="E15" s="22"/>
      <c r="F15" s="22"/>
      <c r="G15" s="22"/>
      <c r="H15" s="23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2:H2"/>
    <mergeCell ref="A3:B3"/>
    <mergeCell ref="C14:H14"/>
    <mergeCell ref="C15:H15"/>
  </mergeCells>
  <printOptions/>
  <pageMargins bottom="0.75" footer="0.0" header="0.0" left="0.7" right="0.7" top="0.75"/>
  <pageSetup orientation="landscape"/>
  <drawing r:id="rId1"/>
</worksheet>
</file>