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429_yamamoto\Desktop\"/>
    </mc:Choice>
  </mc:AlternateContent>
  <xr:revisionPtr revIDLastSave="0" documentId="8_{0B8EC6A8-938E-436E-A329-72BC0E4A15B4}" xr6:coauthVersionLast="47" xr6:coauthVersionMax="47" xr10:uidLastSave="{00000000-0000-0000-0000-000000000000}"/>
  <bookViews>
    <workbookView xWindow="5310" yWindow="6960" windowWidth="14610" windowHeight="10680" xr2:uid="{378E79CF-3483-4AB6-AFCE-19C247E65714}"/>
  </bookViews>
  <sheets>
    <sheet name="審判用紙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8" i="1" l="1"/>
  <c r="W18" i="1"/>
  <c r="Q18" i="1"/>
  <c r="G18" i="1"/>
  <c r="AG15" i="1"/>
  <c r="W15" i="1"/>
  <c r="Q15" i="1"/>
  <c r="G15" i="1"/>
</calcChain>
</file>

<file path=xl/sharedStrings.xml><?xml version="1.0" encoding="utf-8"?>
<sst xmlns="http://schemas.openxmlformats.org/spreadsheetml/2006/main" count="30" uniqueCount="23">
  <si>
    <t>審　判　用　紙</t>
  </si>
  <si>
    <t>令和7年9月23日</t>
  </si>
  <si>
    <t>種　目</t>
  </si>
  <si>
    <t>4・5位トーナメント</t>
  </si>
  <si>
    <t>回　戦</t>
  </si>
  <si>
    <t>決勝</t>
  </si>
  <si>
    <t>コート№</t>
  </si>
  <si>
    <t>2</t>
  </si>
  <si>
    <t>試合方法</t>
  </si>
  <si>
    <r>
      <rPr>
        <sz val="14"/>
        <color theme="1"/>
        <rFont val="Arial"/>
        <family val="2"/>
      </rPr>
      <t>6</t>
    </r>
    <r>
      <rPr>
        <sz val="14"/>
        <color theme="1"/>
        <rFont val="ＭＳ ゴシック"/>
        <family val="3"/>
        <charset val="128"/>
      </rPr>
      <t>ゲームマッチ
（</t>
    </r>
    <r>
      <rPr>
        <sz val="14"/>
        <color theme="1"/>
        <rFont val="Arial"/>
        <family val="2"/>
      </rPr>
      <t>6-6</t>
    </r>
    <r>
      <rPr>
        <sz val="14"/>
        <color theme="1"/>
        <rFont val="ＭＳ ゴシック"/>
        <family val="3"/>
        <charset val="128"/>
      </rPr>
      <t xml:space="preserve">タイブレーク）
</t>
    </r>
    <r>
      <rPr>
        <sz val="14"/>
        <color theme="1"/>
        <rFont val="MS Gothic"/>
      </rPr>
      <t>ノーアドバンテージ</t>
    </r>
    <phoneticPr fontId="2"/>
  </si>
  <si>
    <t>開始時間</t>
  </si>
  <si>
    <t xml:space="preserve"> </t>
  </si>
  <si>
    <t>エントリー№</t>
  </si>
  <si>
    <t>No.</t>
  </si>
  <si>
    <t>選 手 氏 名</t>
  </si>
  <si>
    <t>(</t>
  </si>
  <si>
    <t>)</t>
  </si>
  <si>
    <t>ス　コ　ア</t>
  </si>
  <si>
    <t>―</t>
  </si>
  <si>
    <t>（ＴＢ）</t>
  </si>
  <si>
    <t>（</t>
  </si>
  <si>
    <t>）</t>
  </si>
  <si>
    <t>令和8年度　佐々木杯テニス大会</t>
    <rPh sb="0" eb="2">
      <t>レイワ</t>
    </rPh>
    <rPh sb="3" eb="5">
      <t>ネンド</t>
    </rPh>
    <rPh sb="6" eb="10">
      <t>ササキハイ</t>
    </rPh>
    <rPh sb="13" eb="15">
      <t>タイカイ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</si>
</sst>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family val="2"/>
      <scheme val="minor"/>
    </font>
    <font>
      <b/>
      <sz val="32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1"/>
      <name val="Calibri"/>
      <family val="2"/>
    </font>
    <font>
      <sz val="16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14"/>
      <color theme="1"/>
      <name val="ＭＳ ゴシック"/>
      <family val="2"/>
      <charset val="128"/>
    </font>
    <font>
      <sz val="14"/>
      <color theme="1"/>
      <name val="Arial"/>
      <family val="2"/>
    </font>
    <font>
      <sz val="14"/>
      <color theme="1"/>
      <name val="MS Gothic"/>
    </font>
    <font>
      <sz val="14"/>
      <name val="Calibri"/>
      <family val="2"/>
    </font>
    <font>
      <sz val="22"/>
      <color theme="1"/>
      <name val="ＭＳ ゴシック"/>
      <family val="3"/>
      <charset val="128"/>
    </font>
    <font>
      <sz val="14"/>
      <color rgb="FF000000"/>
      <name val="Calibri"/>
      <family val="2"/>
      <scheme val="minor"/>
    </font>
    <font>
      <sz val="20"/>
      <color theme="1"/>
      <name val="Times New Roman"/>
      <family val="1"/>
    </font>
    <font>
      <sz val="26"/>
      <color theme="1"/>
      <name val="MS PGothic"/>
    </font>
    <font>
      <sz val="20"/>
      <color theme="1"/>
      <name val="MS PGothic"/>
    </font>
    <font>
      <sz val="16"/>
      <color theme="1"/>
      <name val="MS PGothic"/>
    </font>
    <font>
      <sz val="12"/>
      <color theme="1"/>
      <name val="MS PGothic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 shrinkToFit="1"/>
    </xf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/>
    <xf numFmtId="49" fontId="4" fillId="0" borderId="1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5" fillId="0" borderId="3" xfId="0" applyFont="1" applyBorder="1"/>
    <xf numFmtId="0" fontId="5" fillId="0" borderId="4" xfId="0" applyFont="1" applyBorder="1"/>
    <xf numFmtId="0" fontId="7" fillId="0" borderId="5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 shrinkToFit="1"/>
    </xf>
    <xf numFmtId="0" fontId="5" fillId="0" borderId="17" xfId="0" applyFont="1" applyBorder="1"/>
    <xf numFmtId="0" fontId="5" fillId="0" borderId="18" xfId="0" applyFont="1" applyBorder="1"/>
    <xf numFmtId="49" fontId="8" fillId="0" borderId="19" xfId="0" applyNumberFormat="1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wrapText="1" shrinkToFit="1"/>
    </xf>
    <xf numFmtId="0" fontId="12" fillId="0" borderId="17" xfId="0" applyFont="1" applyBorder="1"/>
    <xf numFmtId="0" fontId="12" fillId="0" borderId="18" xfId="0" applyFont="1" applyBorder="1"/>
    <xf numFmtId="20" fontId="13" fillId="0" borderId="19" xfId="0" applyNumberFormat="1" applyFont="1" applyBorder="1" applyAlignment="1">
      <alignment horizontal="center" vertical="center" shrinkToFit="1"/>
    </xf>
    <xf numFmtId="0" fontId="5" fillId="0" borderId="20" xfId="0" applyFont="1" applyBorder="1"/>
    <xf numFmtId="0" fontId="12" fillId="0" borderId="9" xfId="0" applyFont="1" applyBorder="1"/>
    <xf numFmtId="0" fontId="14" fillId="0" borderId="0" xfId="0" applyFont="1"/>
    <xf numFmtId="0" fontId="12" fillId="0" borderId="8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12" fillId="0" borderId="23" xfId="0" applyFont="1" applyBorder="1"/>
    <xf numFmtId="0" fontId="12" fillId="0" borderId="1" xfId="0" applyFont="1" applyBorder="1"/>
    <xf numFmtId="0" fontId="12" fillId="0" borderId="22" xfId="0" applyFont="1" applyBorder="1"/>
    <xf numFmtId="0" fontId="5" fillId="0" borderId="24" xfId="0" applyFont="1" applyBorder="1"/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2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right" vertical="center" shrinkToFit="1"/>
    </xf>
    <xf numFmtId="0" fontId="16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shrinkToFit="1"/>
    </xf>
    <xf numFmtId="0" fontId="18" fillId="0" borderId="17" xfId="0" applyFont="1" applyBorder="1" applyAlignment="1">
      <alignment horizontal="center" shrinkToFit="1"/>
    </xf>
    <xf numFmtId="0" fontId="19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shrinkToFit="1"/>
    </xf>
    <xf numFmtId="0" fontId="18" fillId="0" borderId="20" xfId="0" applyFont="1" applyBorder="1" applyAlignment="1">
      <alignment horizontal="center" shrinkToFit="1"/>
    </xf>
    <xf numFmtId="0" fontId="17" fillId="0" borderId="9" xfId="0" applyFont="1" applyBorder="1" applyAlignment="1">
      <alignment horizontal="center" vertical="top" shrinkToFit="1"/>
    </xf>
    <xf numFmtId="0" fontId="18" fillId="0" borderId="0" xfId="0" applyFont="1" applyAlignment="1">
      <alignment horizontal="center" vertical="top" shrinkToFit="1"/>
    </xf>
    <xf numFmtId="0" fontId="19" fillId="0" borderId="0" xfId="0" applyFont="1" applyAlignment="1">
      <alignment horizontal="center" vertical="top" wrapText="1"/>
    </xf>
    <xf numFmtId="0" fontId="18" fillId="0" borderId="8" xfId="0" applyFont="1" applyBorder="1" applyAlignment="1">
      <alignment horizontal="center" vertical="top" shrinkToFit="1"/>
    </xf>
    <xf numFmtId="0" fontId="18" fillId="0" borderId="10" xfId="0" applyFont="1" applyBorder="1" applyAlignment="1">
      <alignment horizontal="center" vertical="top" shrinkToFit="1"/>
    </xf>
    <xf numFmtId="0" fontId="4" fillId="0" borderId="16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23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4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3" xfId="0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1429_yamamoto\Desktop\&#12511;&#12483;&#12463;&#12473;&#22823;&#20250;&#12469;&#12531;&#12503;&#12523;.xlsx" TargetMode="External"/><Relationship Id="rId1" Type="http://schemas.openxmlformats.org/officeDocument/2006/relationships/externalLinkPath" Target="&#12511;&#12483;&#12463;&#12473;&#22823;&#20250;&#12469;&#12531;&#12503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予選"/>
      <sheetName val="リスト"/>
      <sheetName val="予選L結果"/>
      <sheetName val="予選L結果(2)"/>
      <sheetName val="対戦順"/>
      <sheetName val="順位別トーナメント"/>
      <sheetName val="審判用紙 "/>
      <sheetName val="審判用紙（自動）"/>
    </sheetNames>
    <sheetDataSet>
      <sheetData sheetId="0">
        <row r="1">
          <cell r="A1" t="str">
            <v>　    　　　　　  サンプル</v>
          </cell>
        </row>
      </sheetData>
      <sheetData sheetId="1">
        <row r="1">
          <cell r="B1" t="str">
            <v>番号</v>
          </cell>
          <cell r="C1" t="str">
            <v>名前</v>
          </cell>
          <cell r="D1" t="str">
            <v>所属</v>
          </cell>
        </row>
        <row r="2">
          <cell r="B2" t="str">
            <v>1-1</v>
          </cell>
          <cell r="C2" t="str">
            <v>藤田 智博</v>
          </cell>
          <cell r="D2" t="str">
            <v>Love ALL</v>
          </cell>
        </row>
        <row r="3">
          <cell r="B3" t="str">
            <v>1-2</v>
          </cell>
          <cell r="C3" t="str">
            <v>山根 陽子</v>
          </cell>
          <cell r="D3" t="str">
            <v>フリー</v>
          </cell>
        </row>
        <row r="4">
          <cell r="B4" t="str">
            <v>2-1</v>
          </cell>
          <cell r="C4" t="str">
            <v>岸本 健悟</v>
          </cell>
          <cell r="D4" t="str">
            <v>オレンジ</v>
          </cell>
        </row>
        <row r="5">
          <cell r="B5" t="str">
            <v>2-2</v>
          </cell>
          <cell r="C5" t="str">
            <v>三浦 舞子</v>
          </cell>
          <cell r="D5" t="str">
            <v>サニーＴＳ</v>
          </cell>
        </row>
        <row r="6">
          <cell r="B6" t="str">
            <v>3-1</v>
          </cell>
          <cell r="C6" t="str">
            <v>西山 禎侑</v>
          </cell>
          <cell r="D6" t="str">
            <v>ｄｏＭｅ</v>
          </cell>
        </row>
        <row r="7">
          <cell r="B7" t="str">
            <v>3-2</v>
          </cell>
          <cell r="C7" t="str">
            <v>小林 さえ子</v>
          </cell>
          <cell r="D7" t="str">
            <v>カプリス</v>
          </cell>
        </row>
        <row r="8">
          <cell r="B8" t="str">
            <v>4-1</v>
          </cell>
          <cell r="C8" t="str">
            <v>三宅 諒弥</v>
          </cell>
          <cell r="D8" t="str">
            <v>鳥取銀行</v>
          </cell>
        </row>
        <row r="9">
          <cell r="B9" t="str">
            <v>4-2</v>
          </cell>
          <cell r="C9" t="str">
            <v>山本 桂</v>
          </cell>
          <cell r="D9" t="str">
            <v>たんぽぽ</v>
          </cell>
        </row>
        <row r="10">
          <cell r="B10" t="str">
            <v>5-1</v>
          </cell>
          <cell r="C10" t="str">
            <v>常村 和仁</v>
          </cell>
          <cell r="D10" t="str">
            <v>完熟オレンジ</v>
          </cell>
        </row>
        <row r="11">
          <cell r="B11" t="str">
            <v>5-2</v>
          </cell>
          <cell r="C11" t="str">
            <v>前田 良枝</v>
          </cell>
          <cell r="D11" t="str">
            <v>Ｚｏｎｅ</v>
          </cell>
        </row>
        <row r="12">
          <cell r="B12" t="str">
            <v>6-1</v>
          </cell>
          <cell r="C12" t="str">
            <v>山辺 裕司</v>
          </cell>
          <cell r="D12" t="str">
            <v>ｄｏＭｅ</v>
          </cell>
        </row>
        <row r="13">
          <cell r="B13" t="str">
            <v>6-2</v>
          </cell>
          <cell r="C13" t="str">
            <v>蓼本 裕美</v>
          </cell>
          <cell r="D13" t="str">
            <v>ｄｏＭｅ</v>
          </cell>
        </row>
        <row r="14">
          <cell r="B14" t="str">
            <v>7-1</v>
          </cell>
          <cell r="C14" t="str">
            <v>高垣 護</v>
          </cell>
          <cell r="D14" t="str">
            <v>Drop☆Shot</v>
          </cell>
        </row>
        <row r="15">
          <cell r="B15" t="str">
            <v>7-2</v>
          </cell>
          <cell r="C15" t="str">
            <v>門脇 春美</v>
          </cell>
          <cell r="D15" t="str">
            <v>あみたま</v>
          </cell>
        </row>
        <row r="16">
          <cell r="B16" t="str">
            <v>8-1</v>
          </cell>
          <cell r="C16" t="str">
            <v>津田 智広</v>
          </cell>
          <cell r="D16" t="str">
            <v>ノーレット７</v>
          </cell>
        </row>
        <row r="17">
          <cell r="B17" t="str">
            <v>8-2</v>
          </cell>
          <cell r="C17" t="str">
            <v>米谷 さおり</v>
          </cell>
          <cell r="D17" t="str">
            <v>フリー</v>
          </cell>
        </row>
        <row r="18">
          <cell r="B18" t="str">
            <v>9-1</v>
          </cell>
          <cell r="C18" t="str">
            <v>近藤 哲生</v>
          </cell>
          <cell r="D18" t="str">
            <v>因幡打輪</v>
          </cell>
        </row>
        <row r="19">
          <cell r="B19" t="str">
            <v>9-2</v>
          </cell>
          <cell r="C19" t="str">
            <v>前田 陽子</v>
          </cell>
          <cell r="D19" t="str">
            <v>フリー</v>
          </cell>
        </row>
        <row r="20">
          <cell r="B20" t="str">
            <v>10-1</v>
          </cell>
          <cell r="C20" t="str">
            <v>林原 政幸</v>
          </cell>
          <cell r="D20" t="str">
            <v>フリー</v>
          </cell>
        </row>
        <row r="21">
          <cell r="B21" t="str">
            <v>10-2</v>
          </cell>
          <cell r="C21" t="str">
            <v>林原 史子</v>
          </cell>
          <cell r="D21" t="str">
            <v>フリー</v>
          </cell>
        </row>
        <row r="22">
          <cell r="B22" t="str">
            <v>11-1</v>
          </cell>
          <cell r="C22" t="str">
            <v>和気 久</v>
          </cell>
          <cell r="D22" t="str">
            <v>ＢＳＣ</v>
          </cell>
        </row>
        <row r="23">
          <cell r="B23" t="str">
            <v>11-2</v>
          </cell>
          <cell r="C23" t="str">
            <v>長川 朱美</v>
          </cell>
          <cell r="D23" t="str">
            <v>ロランギャロス</v>
          </cell>
        </row>
        <row r="24">
          <cell r="B24" t="str">
            <v>12-1</v>
          </cell>
          <cell r="C24" t="str">
            <v>山下 悠樹</v>
          </cell>
          <cell r="D24" t="str">
            <v>ｏｆｆ</v>
          </cell>
        </row>
        <row r="25">
          <cell r="B25" t="str">
            <v>12-2</v>
          </cell>
          <cell r="C25" t="str">
            <v>田苗 真里</v>
          </cell>
          <cell r="D25" t="str">
            <v>フリー</v>
          </cell>
        </row>
        <row r="26">
          <cell r="B26" t="str">
            <v>13-1</v>
          </cell>
          <cell r="C26" t="str">
            <v>小谷 桂介</v>
          </cell>
          <cell r="D26" t="str">
            <v>Ｔ-nuts</v>
          </cell>
        </row>
        <row r="27">
          <cell r="B27" t="str">
            <v>13-2</v>
          </cell>
          <cell r="C27" t="str">
            <v>小谷 佐知子</v>
          </cell>
          <cell r="D27" t="str">
            <v>Ｔ-nuts</v>
          </cell>
        </row>
        <row r="28">
          <cell r="B28" t="str">
            <v>14-1</v>
          </cell>
          <cell r="C28" t="str">
            <v>中里 海</v>
          </cell>
          <cell r="D28" t="str">
            <v>湖山池ＴＣ</v>
          </cell>
        </row>
        <row r="29">
          <cell r="B29" t="str">
            <v>14-2</v>
          </cell>
          <cell r="C29" t="str">
            <v>市川 朋子</v>
          </cell>
          <cell r="D29" t="str">
            <v>あみたま</v>
          </cell>
        </row>
        <row r="30">
          <cell r="B30" t="str">
            <v>15-1</v>
          </cell>
          <cell r="C30" t="str">
            <v>網川 忠之</v>
          </cell>
          <cell r="D30" t="str">
            <v>フリー</v>
          </cell>
        </row>
        <row r="31">
          <cell r="B31" t="str">
            <v>15-2</v>
          </cell>
          <cell r="C31" t="str">
            <v>網川 佐知子</v>
          </cell>
          <cell r="D31" t="str">
            <v>フリー</v>
          </cell>
        </row>
        <row r="32">
          <cell r="B32" t="str">
            <v>16-1</v>
          </cell>
          <cell r="C32" t="str">
            <v>羽馬 由和</v>
          </cell>
          <cell r="D32" t="str">
            <v>オレンジ</v>
          </cell>
        </row>
        <row r="33">
          <cell r="B33" t="str">
            <v>16-2</v>
          </cell>
          <cell r="C33" t="str">
            <v>杉原 三奈</v>
          </cell>
          <cell r="D33" t="str">
            <v>ジュピター</v>
          </cell>
        </row>
        <row r="34">
          <cell r="B34" t="str">
            <v>17-1</v>
          </cell>
          <cell r="C34" t="str">
            <v>谷本 卓也</v>
          </cell>
          <cell r="D34" t="str">
            <v>ｄｏＭｅ</v>
          </cell>
        </row>
        <row r="35">
          <cell r="B35" t="str">
            <v>17-2</v>
          </cell>
          <cell r="C35" t="str">
            <v>谷口 圭子</v>
          </cell>
          <cell r="D35" t="str">
            <v>レイリー</v>
          </cell>
        </row>
        <row r="36">
          <cell r="B36" t="str">
            <v>18-1</v>
          </cell>
          <cell r="C36" t="str">
            <v>田中 憲一</v>
          </cell>
          <cell r="D36" t="str">
            <v>ポップテニスプラス</v>
          </cell>
        </row>
        <row r="37">
          <cell r="B37" t="str">
            <v>18-2</v>
          </cell>
          <cell r="C37" t="str">
            <v>山﨑 弥生</v>
          </cell>
          <cell r="D37" t="str">
            <v>鳥取銀行</v>
          </cell>
        </row>
        <row r="38">
          <cell r="B38" t="str">
            <v>19-1</v>
          </cell>
          <cell r="C38" t="str">
            <v>椿 誠</v>
          </cell>
          <cell r="D38" t="str">
            <v>フリー</v>
          </cell>
        </row>
        <row r="39">
          <cell r="B39" t="str">
            <v>19-2</v>
          </cell>
          <cell r="C39" t="str">
            <v>椿 保奈瀬</v>
          </cell>
          <cell r="D39" t="str">
            <v>フリー</v>
          </cell>
        </row>
        <row r="40">
          <cell r="B40" t="str">
            <v>20-1</v>
          </cell>
          <cell r="C40" t="str">
            <v>町田 正雄</v>
          </cell>
          <cell r="D40" t="str">
            <v>因幡打輪</v>
          </cell>
        </row>
        <row r="41">
          <cell r="B41" t="str">
            <v>20-2</v>
          </cell>
          <cell r="C41" t="str">
            <v>町田 聖子</v>
          </cell>
          <cell r="D41" t="str">
            <v>因幡打輪</v>
          </cell>
        </row>
        <row r="42">
          <cell r="B42" t="str">
            <v>21-1</v>
          </cell>
          <cell r="C42" t="str">
            <v>杉野 隆志</v>
          </cell>
          <cell r="D42" t="str">
            <v>アスペック</v>
          </cell>
        </row>
        <row r="43">
          <cell r="B43" t="str">
            <v>21-2</v>
          </cell>
          <cell r="C43" t="str">
            <v>中村 公恵</v>
          </cell>
          <cell r="D43" t="str">
            <v>田園</v>
          </cell>
        </row>
        <row r="44">
          <cell r="B44" t="str">
            <v>22-1</v>
          </cell>
          <cell r="C44" t="str">
            <v>小谷 神一郎</v>
          </cell>
          <cell r="D44" t="str">
            <v>フリー</v>
          </cell>
        </row>
        <row r="45">
          <cell r="B45" t="str">
            <v>22-2</v>
          </cell>
          <cell r="C45" t="str">
            <v>青木 楓</v>
          </cell>
          <cell r="D45" t="str">
            <v>フリー</v>
          </cell>
        </row>
        <row r="46">
          <cell r="B46" t="str">
            <v>23-1</v>
          </cell>
          <cell r="C46" t="str">
            <v>朝倉 章順</v>
          </cell>
          <cell r="D46" t="str">
            <v>ロランギャロス</v>
          </cell>
        </row>
        <row r="47">
          <cell r="B47" t="str">
            <v>23-2</v>
          </cell>
          <cell r="C47" t="str">
            <v>朝倉 加世子</v>
          </cell>
          <cell r="D47" t="str">
            <v>ロランギャロス</v>
          </cell>
        </row>
        <row r="48">
          <cell r="B48" t="str">
            <v>24-1</v>
          </cell>
          <cell r="C48" t="str">
            <v>山本 和弥</v>
          </cell>
          <cell r="D48" t="str">
            <v>オレンジ</v>
          </cell>
        </row>
        <row r="49">
          <cell r="B49" t="str">
            <v>24-2</v>
          </cell>
          <cell r="C49" t="str">
            <v>濱田 久美</v>
          </cell>
          <cell r="D49" t="str">
            <v>フリー</v>
          </cell>
        </row>
        <row r="50">
          <cell r="B50" t="str">
            <v>25-1</v>
          </cell>
          <cell r="C50" t="str">
            <v>米村 琢巳</v>
          </cell>
          <cell r="D50" t="str">
            <v>フリー</v>
          </cell>
        </row>
        <row r="51">
          <cell r="B51" t="str">
            <v>25-2</v>
          </cell>
          <cell r="C51" t="str">
            <v>佐藤 陽子</v>
          </cell>
          <cell r="D51" t="str">
            <v>ウィード</v>
          </cell>
        </row>
        <row r="52">
          <cell r="B52" t="str">
            <v>26-1</v>
          </cell>
          <cell r="C52" t="str">
            <v>松原 成哉</v>
          </cell>
          <cell r="D52" t="str">
            <v>ｄｏＭｅ</v>
          </cell>
        </row>
        <row r="53">
          <cell r="B53" t="str">
            <v>26-2</v>
          </cell>
          <cell r="C53" t="str">
            <v>宮島 依吹</v>
          </cell>
          <cell r="D53" t="str">
            <v>ｄｏＭｅ</v>
          </cell>
        </row>
        <row r="54">
          <cell r="B54" t="str">
            <v>27-1</v>
          </cell>
          <cell r="C54" t="str">
            <v>田中 達也</v>
          </cell>
          <cell r="D54" t="str">
            <v>たんぽぽ</v>
          </cell>
        </row>
        <row r="55">
          <cell r="B55" t="str">
            <v>27-2</v>
          </cell>
          <cell r="C55" t="str">
            <v>田渕 夕起子</v>
          </cell>
          <cell r="D55" t="str">
            <v>ポップテニスプラス</v>
          </cell>
        </row>
        <row r="56">
          <cell r="B56" t="str">
            <v>28-1</v>
          </cell>
          <cell r="C56" t="str">
            <v>中村 匡延</v>
          </cell>
          <cell r="D56" t="str">
            <v>プラセール</v>
          </cell>
        </row>
        <row r="57">
          <cell r="B57" t="str">
            <v>28-2</v>
          </cell>
          <cell r="C57" t="str">
            <v>伊吹 優子</v>
          </cell>
          <cell r="D57" t="str">
            <v>ノーレット７</v>
          </cell>
        </row>
        <row r="58">
          <cell r="B58" t="str">
            <v>29-1</v>
          </cell>
          <cell r="C58" t="str">
            <v>小川 拓</v>
          </cell>
          <cell r="D58" t="str">
            <v>プラセール</v>
          </cell>
        </row>
        <row r="59">
          <cell r="B59" t="str">
            <v>29-2</v>
          </cell>
          <cell r="C59" t="str">
            <v>山内 恵子</v>
          </cell>
          <cell r="D59" t="str">
            <v>プラセール</v>
          </cell>
        </row>
        <row r="60">
          <cell r="B60" t="str">
            <v>30-1</v>
          </cell>
          <cell r="C60" t="str">
            <v>坪上 雄太</v>
          </cell>
          <cell r="D60" t="str">
            <v>メテオスマッシュ</v>
          </cell>
        </row>
        <row r="61">
          <cell r="B61" t="str">
            <v>30-2</v>
          </cell>
          <cell r="C61" t="str">
            <v>高垣 雅美</v>
          </cell>
          <cell r="D61" t="str">
            <v>レイリー</v>
          </cell>
        </row>
        <row r="62">
          <cell r="B62" t="str">
            <v>31-1</v>
          </cell>
          <cell r="C62" t="str">
            <v>砂原 翔</v>
          </cell>
          <cell r="D62" t="str">
            <v>ｏｆｆ</v>
          </cell>
        </row>
        <row r="63">
          <cell r="B63" t="str">
            <v>31-2</v>
          </cell>
          <cell r="C63" t="str">
            <v>藤田 登紀子</v>
          </cell>
          <cell r="D63" t="str">
            <v>フリー</v>
          </cell>
        </row>
        <row r="64">
          <cell r="B64" t="str">
            <v>32-1</v>
          </cell>
          <cell r="C64" t="str">
            <v>外園 真都</v>
          </cell>
          <cell r="D64" t="str">
            <v>鳥取環境大</v>
          </cell>
        </row>
        <row r="65">
          <cell r="B65" t="str">
            <v>32-2</v>
          </cell>
          <cell r="C65" t="str">
            <v>船越 海希</v>
          </cell>
          <cell r="D65" t="str">
            <v>鳥取環境大</v>
          </cell>
        </row>
        <row r="66">
          <cell r="B66" t="str">
            <v>33-1</v>
          </cell>
          <cell r="C66" t="str">
            <v>山口 辰之</v>
          </cell>
          <cell r="D66" t="str">
            <v>サニーＴＳ</v>
          </cell>
        </row>
        <row r="67">
          <cell r="B67" t="str">
            <v>33-2</v>
          </cell>
          <cell r="C67" t="str">
            <v>宮本 真有</v>
          </cell>
          <cell r="D67" t="str">
            <v>デネブ</v>
          </cell>
        </row>
        <row r="68">
          <cell r="B68" t="str">
            <v>34-1</v>
          </cell>
          <cell r="C68" t="str">
            <v>高木 道大</v>
          </cell>
          <cell r="D68" t="str">
            <v>因幡打輪</v>
          </cell>
        </row>
        <row r="69">
          <cell r="B69" t="str">
            <v>34-2</v>
          </cell>
          <cell r="C69" t="str">
            <v>北脇 禎恵</v>
          </cell>
          <cell r="D69" t="str">
            <v>フリー</v>
          </cell>
        </row>
        <row r="70">
          <cell r="B70" t="str">
            <v>35-1</v>
          </cell>
          <cell r="C70" t="str">
            <v>橋本 真也</v>
          </cell>
          <cell r="D70" t="str">
            <v>Drop☆Shot</v>
          </cell>
        </row>
        <row r="71">
          <cell r="B71" t="str">
            <v>35-2</v>
          </cell>
          <cell r="C71" t="str">
            <v>馬嶋 由美子</v>
          </cell>
          <cell r="D71" t="str">
            <v>フリー</v>
          </cell>
        </row>
        <row r="72">
          <cell r="B72" t="str">
            <v>36-1</v>
          </cell>
          <cell r="C72" t="str">
            <v>西口 幸雄</v>
          </cell>
          <cell r="D72" t="str">
            <v>プラセール</v>
          </cell>
        </row>
        <row r="73">
          <cell r="B73" t="str">
            <v>36-2</v>
          </cell>
          <cell r="C73" t="str">
            <v>西口 栄子</v>
          </cell>
          <cell r="D73" t="str">
            <v>プラセール</v>
          </cell>
        </row>
        <row r="74">
          <cell r="B74" t="str">
            <v>37-1</v>
          </cell>
          <cell r="C74" t="str">
            <v>細川 善貴</v>
          </cell>
          <cell r="D74" t="str">
            <v>ｄｏＭｅ</v>
          </cell>
        </row>
        <row r="75">
          <cell r="B75" t="str">
            <v>37-2</v>
          </cell>
          <cell r="C75" t="str">
            <v>厨子 沙也香</v>
          </cell>
          <cell r="D75" t="str">
            <v>フリー</v>
          </cell>
        </row>
        <row r="76">
          <cell r="B76" t="str">
            <v>38-1</v>
          </cell>
          <cell r="C76" t="str">
            <v>柳武 剛</v>
          </cell>
          <cell r="D76" t="str">
            <v>Vivace</v>
          </cell>
        </row>
        <row r="77">
          <cell r="B77" t="str">
            <v>38-2</v>
          </cell>
          <cell r="C77" t="str">
            <v>鳥飼 明子</v>
          </cell>
          <cell r="D77" t="str">
            <v>フリー</v>
          </cell>
        </row>
        <row r="78">
          <cell r="B78" t="str">
            <v>39-1</v>
          </cell>
          <cell r="C78" t="str">
            <v>盛本 貴之</v>
          </cell>
          <cell r="D78" t="str">
            <v>カプリス</v>
          </cell>
        </row>
        <row r="79">
          <cell r="B79" t="str">
            <v>39-2</v>
          </cell>
          <cell r="C79" t="str">
            <v>仲曽 真由美</v>
          </cell>
          <cell r="D79" t="str">
            <v>BSC</v>
          </cell>
        </row>
        <row r="80">
          <cell r="B80" t="str">
            <v>40-1</v>
          </cell>
          <cell r="C80" t="str">
            <v>高木 克憲</v>
          </cell>
          <cell r="D80" t="str">
            <v>ｏｆｆ</v>
          </cell>
        </row>
        <row r="81">
          <cell r="B81" t="str">
            <v>40-2</v>
          </cell>
          <cell r="C81" t="str">
            <v>田中 好美</v>
          </cell>
          <cell r="D81" t="str">
            <v>あみたま</v>
          </cell>
        </row>
        <row r="82">
          <cell r="B82" t="str">
            <v>41-1</v>
          </cell>
          <cell r="C82" t="str">
            <v>丸川 康生</v>
          </cell>
          <cell r="D82" t="str">
            <v>因幡打輪</v>
          </cell>
        </row>
        <row r="83">
          <cell r="B83" t="str">
            <v>41-2</v>
          </cell>
          <cell r="C83" t="str">
            <v>山根 崇子</v>
          </cell>
          <cell r="D83" t="str">
            <v>フリー</v>
          </cell>
        </row>
        <row r="84">
          <cell r="B84" t="str">
            <v>42-1</v>
          </cell>
          <cell r="C84" t="str">
            <v>田中 久夫</v>
          </cell>
          <cell r="D84" t="str">
            <v>カプリス</v>
          </cell>
        </row>
        <row r="85">
          <cell r="B85" t="str">
            <v>42-2</v>
          </cell>
          <cell r="C85" t="str">
            <v>林 京子</v>
          </cell>
          <cell r="D85" t="str">
            <v>フリー</v>
          </cell>
        </row>
        <row r="86">
          <cell r="B86" t="str">
            <v>43-1</v>
          </cell>
          <cell r="C86" t="str">
            <v>難波 隆顕</v>
          </cell>
          <cell r="D86" t="str">
            <v>プラセール</v>
          </cell>
        </row>
        <row r="87">
          <cell r="B87" t="str">
            <v>43-2</v>
          </cell>
          <cell r="C87" t="str">
            <v>森 順子</v>
          </cell>
          <cell r="D87" t="str">
            <v>フリー</v>
          </cell>
        </row>
        <row r="88">
          <cell r="B88" t="str">
            <v>44-1</v>
          </cell>
          <cell r="C88" t="str">
            <v>檜垣 直斗</v>
          </cell>
          <cell r="D88" t="str">
            <v>フリー</v>
          </cell>
        </row>
        <row r="89">
          <cell r="B89" t="str">
            <v>44-2</v>
          </cell>
          <cell r="C89" t="str">
            <v>橋本 舞子</v>
          </cell>
          <cell r="D89" t="str">
            <v>スポーツショップハート</v>
          </cell>
        </row>
        <row r="90">
          <cell r="B90" t="str">
            <v>45-1</v>
          </cell>
          <cell r="C90" t="str">
            <v>小椋 浩二</v>
          </cell>
          <cell r="D90" t="str">
            <v>てーくおふ</v>
          </cell>
        </row>
        <row r="91">
          <cell r="B91" t="str">
            <v>45-2</v>
          </cell>
          <cell r="C91" t="str">
            <v>前田 美由紀</v>
          </cell>
          <cell r="D91" t="str">
            <v>てーくおふ</v>
          </cell>
        </row>
        <row r="92">
          <cell r="B92" t="str">
            <v>46-1</v>
          </cell>
          <cell r="C92" t="str">
            <v>住吉 俊輝</v>
          </cell>
          <cell r="D92" t="str">
            <v>プラセール</v>
          </cell>
        </row>
        <row r="93">
          <cell r="B93" t="str">
            <v>46-2</v>
          </cell>
          <cell r="C93" t="str">
            <v>福浜 美佐緒</v>
          </cell>
          <cell r="D93" t="str">
            <v>プラセール</v>
          </cell>
        </row>
        <row r="94">
          <cell r="B94" t="str">
            <v>47-1</v>
          </cell>
          <cell r="C94" t="str">
            <v>吉田 浩士</v>
          </cell>
          <cell r="D94" t="str">
            <v>ノーレット７</v>
          </cell>
        </row>
        <row r="95">
          <cell r="B95" t="str">
            <v>47-2</v>
          </cell>
          <cell r="C95" t="str">
            <v>岡田 友子</v>
          </cell>
          <cell r="D95" t="str">
            <v>ノーレット７</v>
          </cell>
        </row>
        <row r="96">
          <cell r="B96" t="str">
            <v>48-1</v>
          </cell>
          <cell r="C96" t="str">
            <v>藤田 和幸</v>
          </cell>
          <cell r="D96" t="str">
            <v>フリー</v>
          </cell>
        </row>
        <row r="97">
          <cell r="B97" t="str">
            <v>48-2</v>
          </cell>
          <cell r="C97" t="str">
            <v>藤田 美和</v>
          </cell>
          <cell r="D97" t="str">
            <v>フリー</v>
          </cell>
        </row>
        <row r="98">
          <cell r="B98" t="str">
            <v>49-1</v>
          </cell>
          <cell r="C98" t="str">
            <v>清水 貴志</v>
          </cell>
          <cell r="D98" t="str">
            <v>フリー</v>
          </cell>
        </row>
        <row r="99">
          <cell r="B99" t="str">
            <v>49-2</v>
          </cell>
          <cell r="C99" t="str">
            <v>大田 陽子</v>
          </cell>
          <cell r="D99" t="str">
            <v>たんぽぽ</v>
          </cell>
        </row>
        <row r="100">
          <cell r="B100" t="str">
            <v>50-1</v>
          </cell>
          <cell r="C100" t="str">
            <v>竹安 秀平</v>
          </cell>
          <cell r="D100" t="str">
            <v>ＲｅＦｌｅｘ</v>
          </cell>
        </row>
        <row r="101">
          <cell r="B101" t="str">
            <v>50-2</v>
          </cell>
          <cell r="C101" t="str">
            <v>楠瀬 翔子</v>
          </cell>
          <cell r="D101" t="str">
            <v>アポロＴＣ</v>
          </cell>
        </row>
        <row r="102">
          <cell r="B102" t="str">
            <v>51-1</v>
          </cell>
          <cell r="C102" t="str">
            <v>橋本 義斉</v>
          </cell>
          <cell r="D102" t="str">
            <v>Drop☆Shot</v>
          </cell>
        </row>
        <row r="103">
          <cell r="B103" t="str">
            <v>51-2</v>
          </cell>
          <cell r="C103" t="str">
            <v>今城 由美</v>
          </cell>
          <cell r="D103" t="str">
            <v>レイリー</v>
          </cell>
        </row>
        <row r="104">
          <cell r="B104" t="str">
            <v>52-1</v>
          </cell>
          <cell r="C104" t="str">
            <v>井嶋 昭二</v>
          </cell>
          <cell r="D104" t="str">
            <v>RedHotChiliPeppers</v>
          </cell>
        </row>
        <row r="105">
          <cell r="B105" t="str">
            <v>52-2</v>
          </cell>
          <cell r="C105" t="str">
            <v>高木 美穂</v>
          </cell>
          <cell r="D105" t="str">
            <v>ラフ</v>
          </cell>
        </row>
        <row r="106">
          <cell r="B106" t="str">
            <v>53-1</v>
          </cell>
          <cell r="C106" t="str">
            <v>吉田 拳士</v>
          </cell>
          <cell r="D106" t="str">
            <v>サニーテニス</v>
          </cell>
        </row>
        <row r="107">
          <cell r="B107" t="str">
            <v>53-2</v>
          </cell>
          <cell r="C107" t="str">
            <v>吉田 由乃</v>
          </cell>
          <cell r="D107" t="str">
            <v>サニーテニス</v>
          </cell>
        </row>
        <row r="108">
          <cell r="B108" t="str">
            <v>54-1</v>
          </cell>
          <cell r="C108" t="str">
            <v>遠藤 絢弥</v>
          </cell>
          <cell r="D108" t="str">
            <v>フリー</v>
          </cell>
        </row>
        <row r="109">
          <cell r="B109" t="str">
            <v>54-2</v>
          </cell>
          <cell r="C109" t="str">
            <v>遠藤 夏希</v>
          </cell>
          <cell r="D109" t="str">
            <v>湖山池ＴＣ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E00E-9FC3-49C3-9114-8159618AF417}">
  <sheetPr>
    <pageSetUpPr fitToPage="1"/>
  </sheetPr>
  <dimension ref="A1:AL29"/>
  <sheetViews>
    <sheetView showGridLines="0" tabSelected="1" topLeftCell="A8" workbookViewId="0">
      <selection activeCell="G4" sqref="G4:S7"/>
    </sheetView>
  </sheetViews>
  <sheetFormatPr defaultColWidth="14.42578125" defaultRowHeight="15" customHeight="1"/>
  <cols>
    <col min="1" max="38" width="3.28515625" customWidth="1"/>
  </cols>
  <sheetData>
    <row r="1" spans="1:38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22.5" customHeight="1" thickBot="1">
      <c r="A3" s="3"/>
      <c r="B3" s="3"/>
      <c r="C3" s="3"/>
      <c r="D3" s="3"/>
      <c r="E3" s="3"/>
      <c r="F3" s="3"/>
      <c r="G3" s="3"/>
      <c r="H3" s="4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3"/>
      <c r="AF3" s="6" t="s">
        <v>1</v>
      </c>
      <c r="AG3" s="5"/>
      <c r="AH3" s="5"/>
      <c r="AI3" s="5"/>
      <c r="AJ3" s="5"/>
      <c r="AK3" s="5"/>
      <c r="AL3" s="5"/>
    </row>
    <row r="4" spans="1:38" ht="18.75" customHeight="1">
      <c r="A4" s="7" t="s">
        <v>2</v>
      </c>
      <c r="B4" s="8"/>
      <c r="C4" s="8"/>
      <c r="D4" s="8"/>
      <c r="E4" s="8"/>
      <c r="F4" s="9"/>
      <c r="G4" s="10" t="s">
        <v>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1" t="s">
        <v>4</v>
      </c>
      <c r="U4" s="8"/>
      <c r="V4" s="8"/>
      <c r="W4" s="8"/>
      <c r="X4" s="8"/>
      <c r="Y4" s="9"/>
      <c r="Z4" s="10" t="s">
        <v>5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2"/>
    </row>
    <row r="5" spans="1:38" ht="18.75" customHeight="1">
      <c r="A5" s="13"/>
      <c r="B5" s="2"/>
      <c r="C5" s="2"/>
      <c r="D5" s="2"/>
      <c r="E5" s="2"/>
      <c r="F5" s="14"/>
      <c r="G5" s="1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4"/>
      <c r="T5" s="15"/>
      <c r="U5" s="2"/>
      <c r="V5" s="2"/>
      <c r="W5" s="2"/>
      <c r="X5" s="2"/>
      <c r="Y5" s="14"/>
      <c r="Z5" s="15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16"/>
    </row>
    <row r="6" spans="1:38" ht="18.75" customHeight="1">
      <c r="A6" s="13"/>
      <c r="B6" s="2"/>
      <c r="C6" s="2"/>
      <c r="D6" s="2"/>
      <c r="E6" s="2"/>
      <c r="F6" s="14"/>
      <c r="G6" s="1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4"/>
      <c r="T6" s="15"/>
      <c r="U6" s="2"/>
      <c r="V6" s="2"/>
      <c r="W6" s="2"/>
      <c r="X6" s="2"/>
      <c r="Y6" s="14"/>
      <c r="Z6" s="15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16"/>
    </row>
    <row r="7" spans="1:38" ht="18.75" customHeight="1">
      <c r="A7" s="17"/>
      <c r="B7" s="18"/>
      <c r="C7" s="18"/>
      <c r="D7" s="18"/>
      <c r="E7" s="18"/>
      <c r="F7" s="19"/>
      <c r="G7" s="2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20"/>
      <c r="U7" s="18"/>
      <c r="V7" s="18"/>
      <c r="W7" s="18"/>
      <c r="X7" s="18"/>
      <c r="Y7" s="19"/>
      <c r="Z7" s="20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1"/>
    </row>
    <row r="8" spans="1:38" ht="16.5" customHeight="1">
      <c r="A8" s="22" t="s">
        <v>6</v>
      </c>
      <c r="B8" s="23"/>
      <c r="C8" s="23"/>
      <c r="D8" s="23"/>
      <c r="E8" s="23"/>
      <c r="F8" s="24"/>
      <c r="G8" s="25" t="s">
        <v>7</v>
      </c>
      <c r="H8" s="23"/>
      <c r="I8" s="23"/>
      <c r="J8" s="23"/>
      <c r="K8" s="23"/>
      <c r="L8" s="24"/>
      <c r="M8" s="26" t="s">
        <v>8</v>
      </c>
      <c r="N8" s="23"/>
      <c r="O8" s="23"/>
      <c r="P8" s="23"/>
      <c r="Q8" s="24"/>
      <c r="R8" s="27" t="s">
        <v>9</v>
      </c>
      <c r="S8" s="28"/>
      <c r="T8" s="28"/>
      <c r="U8" s="28"/>
      <c r="V8" s="28"/>
      <c r="W8" s="28"/>
      <c r="X8" s="28"/>
      <c r="Y8" s="28"/>
      <c r="Z8" s="29"/>
      <c r="AA8" s="26" t="s">
        <v>10</v>
      </c>
      <c r="AB8" s="23"/>
      <c r="AC8" s="23"/>
      <c r="AD8" s="23"/>
      <c r="AE8" s="24"/>
      <c r="AF8" s="30">
        <v>0.39583333333333331</v>
      </c>
      <c r="AG8" s="23"/>
      <c r="AH8" s="23"/>
      <c r="AI8" s="23"/>
      <c r="AJ8" s="23"/>
      <c r="AK8" s="23"/>
      <c r="AL8" s="31"/>
    </row>
    <row r="9" spans="1:38" ht="16.5" customHeight="1">
      <c r="A9" s="13"/>
      <c r="B9" s="2"/>
      <c r="C9" s="2"/>
      <c r="D9" s="2"/>
      <c r="E9" s="2"/>
      <c r="F9" s="14"/>
      <c r="G9" s="15"/>
      <c r="H9" s="2"/>
      <c r="I9" s="2"/>
      <c r="J9" s="2"/>
      <c r="K9" s="2"/>
      <c r="L9" s="14"/>
      <c r="M9" s="15"/>
      <c r="N9" s="2"/>
      <c r="O9" s="2"/>
      <c r="P9" s="2"/>
      <c r="Q9" s="14"/>
      <c r="R9" s="32"/>
      <c r="S9" s="33"/>
      <c r="T9" s="33"/>
      <c r="U9" s="33"/>
      <c r="V9" s="33"/>
      <c r="W9" s="33"/>
      <c r="X9" s="33"/>
      <c r="Y9" s="33"/>
      <c r="Z9" s="34"/>
      <c r="AA9" s="15"/>
      <c r="AB9" s="2"/>
      <c r="AC9" s="2"/>
      <c r="AD9" s="2"/>
      <c r="AE9" s="14"/>
      <c r="AF9" s="15"/>
      <c r="AG9" s="2"/>
      <c r="AH9" s="2"/>
      <c r="AI9" s="2"/>
      <c r="AJ9" s="2"/>
      <c r="AK9" s="2"/>
      <c r="AL9" s="16"/>
    </row>
    <row r="10" spans="1:38" ht="16.5" customHeight="1">
      <c r="A10" s="13"/>
      <c r="B10" s="2"/>
      <c r="C10" s="2"/>
      <c r="D10" s="2"/>
      <c r="E10" s="2"/>
      <c r="F10" s="14"/>
      <c r="G10" s="15"/>
      <c r="H10" s="2"/>
      <c r="I10" s="2"/>
      <c r="J10" s="2"/>
      <c r="K10" s="2"/>
      <c r="L10" s="14"/>
      <c r="M10" s="15"/>
      <c r="N10" s="2"/>
      <c r="O10" s="2"/>
      <c r="P10" s="2"/>
      <c r="Q10" s="14"/>
      <c r="R10" s="32"/>
      <c r="S10" s="33"/>
      <c r="T10" s="33"/>
      <c r="U10" s="33"/>
      <c r="V10" s="33"/>
      <c r="W10" s="33"/>
      <c r="X10" s="33"/>
      <c r="Y10" s="33"/>
      <c r="Z10" s="34"/>
      <c r="AA10" s="15"/>
      <c r="AB10" s="2"/>
      <c r="AC10" s="2"/>
      <c r="AD10" s="2"/>
      <c r="AE10" s="14"/>
      <c r="AF10" s="15"/>
      <c r="AG10" s="2"/>
      <c r="AH10" s="2"/>
      <c r="AI10" s="2"/>
      <c r="AJ10" s="2"/>
      <c r="AK10" s="2"/>
      <c r="AL10" s="16"/>
    </row>
    <row r="11" spans="1:38" ht="16.5" customHeight="1" thickBot="1">
      <c r="A11" s="35"/>
      <c r="B11" s="5"/>
      <c r="C11" s="5"/>
      <c r="D11" s="5"/>
      <c r="E11" s="5"/>
      <c r="F11" s="36"/>
      <c r="G11" s="37"/>
      <c r="H11" s="5"/>
      <c r="I11" s="5"/>
      <c r="J11" s="5"/>
      <c r="K11" s="5"/>
      <c r="L11" s="36"/>
      <c r="M11" s="37"/>
      <c r="N11" s="5"/>
      <c r="O11" s="5"/>
      <c r="P11" s="5"/>
      <c r="Q11" s="36"/>
      <c r="R11" s="38"/>
      <c r="S11" s="39"/>
      <c r="T11" s="39"/>
      <c r="U11" s="39"/>
      <c r="V11" s="39"/>
      <c r="W11" s="39"/>
      <c r="X11" s="39"/>
      <c r="Y11" s="39"/>
      <c r="Z11" s="40"/>
      <c r="AA11" s="37"/>
      <c r="AB11" s="5"/>
      <c r="AC11" s="5"/>
      <c r="AD11" s="5"/>
      <c r="AE11" s="36"/>
      <c r="AF11" s="37"/>
      <c r="AG11" s="5"/>
      <c r="AH11" s="5"/>
      <c r="AI11" s="5"/>
      <c r="AJ11" s="5"/>
      <c r="AK11" s="5"/>
      <c r="AL11" s="41"/>
    </row>
    <row r="12" spans="1:38" ht="7.5" customHeight="1" thickBot="1">
      <c r="A12" s="42"/>
      <c r="B12" s="42"/>
      <c r="C12" s="42"/>
      <c r="D12" s="42"/>
      <c r="E12" s="42"/>
      <c r="F12" s="42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 t="s">
        <v>11</v>
      </c>
      <c r="R12" s="43"/>
      <c r="S12" s="43"/>
      <c r="T12" s="4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18.75" customHeight="1">
      <c r="A13" s="44" t="s">
        <v>12</v>
      </c>
      <c r="B13" s="8"/>
      <c r="C13" s="8"/>
      <c r="D13" s="8"/>
      <c r="E13" s="8"/>
      <c r="F13" s="9"/>
      <c r="G13" s="45" t="s">
        <v>13</v>
      </c>
      <c r="H13" s="8"/>
      <c r="I13" s="8"/>
      <c r="J13" s="8"/>
      <c r="K13" s="46">
        <v>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45" t="s">
        <v>13</v>
      </c>
      <c r="X13" s="8"/>
      <c r="Y13" s="8"/>
      <c r="Z13" s="8"/>
      <c r="AA13" s="46">
        <v>3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12"/>
    </row>
    <row r="14" spans="1:38" ht="18.75" customHeight="1">
      <c r="A14" s="17"/>
      <c r="B14" s="18"/>
      <c r="C14" s="18"/>
      <c r="D14" s="18"/>
      <c r="E14" s="18"/>
      <c r="F14" s="19"/>
      <c r="G14" s="2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  <c r="W14" s="20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1"/>
    </row>
    <row r="15" spans="1:38" ht="16.5" customHeight="1">
      <c r="A15" s="47" t="s">
        <v>14</v>
      </c>
      <c r="B15" s="23"/>
      <c r="C15" s="23"/>
      <c r="D15" s="23"/>
      <c r="E15" s="23"/>
      <c r="F15" s="24"/>
      <c r="G15" s="48" t="str">
        <f>IFERROR(VLOOKUP(K13&amp;"-"&amp;1,[1]リスト!$B:$D,2,FALSE),"")</f>
        <v>常村 和仁</v>
      </c>
      <c r="H15" s="23"/>
      <c r="I15" s="23"/>
      <c r="J15" s="23"/>
      <c r="K15" s="23"/>
      <c r="L15" s="23"/>
      <c r="M15" s="23"/>
      <c r="N15" s="23"/>
      <c r="O15" s="23"/>
      <c r="P15" s="49" t="s">
        <v>15</v>
      </c>
      <c r="Q15" s="50" t="str">
        <f>IFERROR(VLOOKUP(K13&amp;"-"&amp;1,[1]リスト!$B:$D,3,FALSE),"")</f>
        <v>完熟オレンジ</v>
      </c>
      <c r="R15" s="23"/>
      <c r="S15" s="23"/>
      <c r="T15" s="23"/>
      <c r="U15" s="23"/>
      <c r="V15" s="51" t="s">
        <v>16</v>
      </c>
      <c r="W15" s="48" t="str">
        <f>IFERROR(VLOOKUP(AA13&amp;"-"&amp;1,[1]リスト!$B:$D,2,FALSE),"")</f>
        <v>西山 禎侑</v>
      </c>
      <c r="X15" s="23"/>
      <c r="Y15" s="23"/>
      <c r="Z15" s="23"/>
      <c r="AA15" s="23"/>
      <c r="AB15" s="23"/>
      <c r="AC15" s="23"/>
      <c r="AD15" s="23"/>
      <c r="AE15" s="23"/>
      <c r="AF15" s="49" t="s">
        <v>15</v>
      </c>
      <c r="AG15" s="50" t="str">
        <f>IFERROR(VLOOKUP(AA13&amp;"-"&amp;1,[1]リスト!$B:$D,3,FALSE),"")</f>
        <v>ｄｏＭｅ</v>
      </c>
      <c r="AH15" s="23"/>
      <c r="AI15" s="23"/>
      <c r="AJ15" s="23"/>
      <c r="AK15" s="23"/>
      <c r="AL15" s="52" t="s">
        <v>16</v>
      </c>
    </row>
    <row r="16" spans="1:38" ht="16.5" customHeight="1">
      <c r="A16" s="13"/>
      <c r="B16" s="2"/>
      <c r="C16" s="2"/>
      <c r="D16" s="2"/>
      <c r="E16" s="2"/>
      <c r="F16" s="14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4"/>
      <c r="W16" s="15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16"/>
    </row>
    <row r="17" spans="1:38" ht="16.5" customHeight="1">
      <c r="A17" s="13"/>
      <c r="B17" s="2"/>
      <c r="C17" s="2"/>
      <c r="D17" s="2"/>
      <c r="E17" s="2"/>
      <c r="F17" s="14"/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4"/>
      <c r="W17" s="15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16"/>
    </row>
    <row r="18" spans="1:38" ht="16.5" customHeight="1">
      <c r="A18" s="13"/>
      <c r="B18" s="2"/>
      <c r="C18" s="2"/>
      <c r="D18" s="2"/>
      <c r="E18" s="2"/>
      <c r="F18" s="14"/>
      <c r="G18" s="53" t="str">
        <f>IFERROR(VLOOKUP(K13&amp;"-"&amp;2,[1]リスト!$B:$D,2,FALSE),"")</f>
        <v>前田 良枝</v>
      </c>
      <c r="H18" s="2"/>
      <c r="I18" s="2"/>
      <c r="J18" s="2"/>
      <c r="K18" s="2"/>
      <c r="L18" s="2"/>
      <c r="M18" s="2"/>
      <c r="N18" s="2"/>
      <c r="O18" s="2"/>
      <c r="P18" s="54" t="s">
        <v>15</v>
      </c>
      <c r="Q18" s="55" t="str">
        <f>IFERROR(VLOOKUP(K13&amp;"-"&amp;2,[1]リスト!$B:$D,3,FALSE),"")</f>
        <v>Ｚｏｎｅ</v>
      </c>
      <c r="R18" s="2"/>
      <c r="S18" s="2"/>
      <c r="T18" s="2"/>
      <c r="U18" s="2"/>
      <c r="V18" s="56" t="s">
        <v>16</v>
      </c>
      <c r="W18" s="53" t="str">
        <f>IFERROR(VLOOKUP(AA13&amp;"-"&amp;2,[1]リスト!$B:$D,2,FALSE),"")</f>
        <v>小林 さえ子</v>
      </c>
      <c r="X18" s="2"/>
      <c r="Y18" s="2"/>
      <c r="Z18" s="2"/>
      <c r="AA18" s="2"/>
      <c r="AB18" s="2"/>
      <c r="AC18" s="2"/>
      <c r="AD18" s="2"/>
      <c r="AE18" s="2"/>
      <c r="AF18" s="54" t="s">
        <v>15</v>
      </c>
      <c r="AG18" s="55" t="str">
        <f>IFERROR(VLOOKUP(AA13&amp;"-"&amp;2,[1]リスト!$B:$D,3,FALSE),"")</f>
        <v>カプリス</v>
      </c>
      <c r="AH18" s="2"/>
      <c r="AI18" s="2"/>
      <c r="AJ18" s="2"/>
      <c r="AK18" s="2"/>
      <c r="AL18" s="57" t="s">
        <v>16</v>
      </c>
    </row>
    <row r="19" spans="1:38" ht="16.5" customHeight="1">
      <c r="A19" s="13"/>
      <c r="B19" s="2"/>
      <c r="C19" s="2"/>
      <c r="D19" s="2"/>
      <c r="E19" s="2"/>
      <c r="F19" s="14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4"/>
      <c r="W19" s="15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16"/>
    </row>
    <row r="20" spans="1:38" ht="16.5" customHeight="1">
      <c r="A20" s="17"/>
      <c r="B20" s="18"/>
      <c r="C20" s="18"/>
      <c r="D20" s="18"/>
      <c r="E20" s="18"/>
      <c r="F20" s="19"/>
      <c r="G20" s="2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/>
      <c r="W20" s="20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1"/>
    </row>
    <row r="21" spans="1:38" ht="15.75" customHeight="1">
      <c r="A21" s="58" t="s">
        <v>17</v>
      </c>
      <c r="B21" s="23"/>
      <c r="C21" s="23"/>
      <c r="D21" s="23"/>
      <c r="E21" s="23"/>
      <c r="F21" s="24"/>
      <c r="G21" s="59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60" t="s">
        <v>18</v>
      </c>
      <c r="W21" s="23"/>
      <c r="X21" s="61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31"/>
    </row>
    <row r="22" spans="1:38" ht="15.75" customHeight="1">
      <c r="A22" s="13"/>
      <c r="B22" s="2"/>
      <c r="C22" s="2"/>
      <c r="D22" s="2"/>
      <c r="E22" s="2"/>
      <c r="F22" s="14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16"/>
    </row>
    <row r="23" spans="1:38" ht="15.75" customHeight="1">
      <c r="A23" s="13"/>
      <c r="B23" s="2"/>
      <c r="C23" s="2"/>
      <c r="D23" s="2"/>
      <c r="E23" s="2"/>
      <c r="F23" s="14"/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16"/>
    </row>
    <row r="24" spans="1:38" ht="15.75" customHeight="1">
      <c r="A24" s="13"/>
      <c r="B24" s="2"/>
      <c r="C24" s="2"/>
      <c r="D24" s="2"/>
      <c r="E24" s="2"/>
      <c r="F24" s="14"/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16"/>
    </row>
    <row r="25" spans="1:38" ht="15.75" customHeight="1">
      <c r="A25" s="13"/>
      <c r="B25" s="2"/>
      <c r="C25" s="2"/>
      <c r="D25" s="2"/>
      <c r="E25" s="2"/>
      <c r="F25" s="14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16"/>
    </row>
    <row r="26" spans="1:38" ht="17.25" customHeight="1">
      <c r="A26" s="62" t="s">
        <v>19</v>
      </c>
      <c r="B26" s="2"/>
      <c r="C26" s="2"/>
      <c r="D26" s="2"/>
      <c r="E26" s="2"/>
      <c r="F26" s="14"/>
      <c r="G26" s="6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64" t="s">
        <v>20</v>
      </c>
      <c r="U26" s="2"/>
      <c r="V26" s="65"/>
      <c r="W26" s="65"/>
      <c r="X26" s="64" t="s">
        <v>21</v>
      </c>
      <c r="Y26" s="2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66"/>
    </row>
    <row r="27" spans="1:38" ht="17.25" customHeight="1">
      <c r="A27" s="13"/>
      <c r="B27" s="2"/>
      <c r="C27" s="2"/>
      <c r="D27" s="2"/>
      <c r="E27" s="2"/>
      <c r="F27" s="14"/>
      <c r="G27" s="6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/>
      <c r="U27" s="2"/>
      <c r="V27" s="65"/>
      <c r="W27" s="65"/>
      <c r="X27" s="2"/>
      <c r="Y27" s="2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66"/>
    </row>
    <row r="28" spans="1:38" ht="17.25" customHeight="1" thickBot="1">
      <c r="A28" s="35"/>
      <c r="B28" s="5"/>
      <c r="C28" s="5"/>
      <c r="D28" s="5"/>
      <c r="E28" s="5"/>
      <c r="F28" s="36"/>
      <c r="G28" s="67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5"/>
      <c r="U28" s="5"/>
      <c r="V28" s="69"/>
      <c r="W28" s="5"/>
      <c r="X28" s="5"/>
      <c r="Y28" s="5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70"/>
    </row>
    <row r="29" spans="1:38" ht="25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2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</sheetData>
  <mergeCells count="44">
    <mergeCell ref="A26:F28"/>
    <mergeCell ref="T26:U28"/>
    <mergeCell ref="X26:Y28"/>
    <mergeCell ref="V28:W28"/>
    <mergeCell ref="Z29:AL29"/>
    <mergeCell ref="AG18:AK20"/>
    <mergeCell ref="AL18:AL20"/>
    <mergeCell ref="A21:F25"/>
    <mergeCell ref="G21:U25"/>
    <mergeCell ref="V21:W25"/>
    <mergeCell ref="X21:AL25"/>
    <mergeCell ref="W15:AE17"/>
    <mergeCell ref="AF15:AF17"/>
    <mergeCell ref="AG15:AK17"/>
    <mergeCell ref="AL15:AL17"/>
    <mergeCell ref="G18:O20"/>
    <mergeCell ref="P18:P20"/>
    <mergeCell ref="Q18:U20"/>
    <mergeCell ref="V18:V20"/>
    <mergeCell ref="W18:AE20"/>
    <mergeCell ref="AF18:AF20"/>
    <mergeCell ref="A13:F14"/>
    <mergeCell ref="G13:J14"/>
    <mergeCell ref="K13:V14"/>
    <mergeCell ref="W13:Z14"/>
    <mergeCell ref="AA13:AL14"/>
    <mergeCell ref="A15:F20"/>
    <mergeCell ref="G15:O17"/>
    <mergeCell ref="P15:P17"/>
    <mergeCell ref="Q15:U17"/>
    <mergeCell ref="V15:V17"/>
    <mergeCell ref="A8:F11"/>
    <mergeCell ref="G8:L11"/>
    <mergeCell ref="M8:Q11"/>
    <mergeCell ref="R8:Z11"/>
    <mergeCell ref="AA8:AE11"/>
    <mergeCell ref="AF8:AL11"/>
    <mergeCell ref="A1:AL2"/>
    <mergeCell ref="H3:AD3"/>
    <mergeCell ref="AF3:AL3"/>
    <mergeCell ref="A4:F7"/>
    <mergeCell ref="G4:S7"/>
    <mergeCell ref="T4:Y7"/>
    <mergeCell ref="Z4:AL7"/>
  </mergeCells>
  <phoneticPr fontId="2"/>
  <dataValidations count="3">
    <dataValidation type="list" allowBlank="1" showDropDown="1" showErrorMessage="1" sqref="G8" xr:uid="{AE2F52DA-FAF9-4289-AD33-0EC187615597}">
      <formula1>"1,2,3,4,5,6,7,8,9,10,11,12,13,14,15,16"</formula1>
    </dataValidation>
    <dataValidation type="list" allowBlank="1" showDropDown="1" showErrorMessage="1" sqref="Z4" xr:uid="{821234FC-9614-4D90-B147-D28218DAE268}">
      <formula1>"１回戦,2回線,3回線,準々決勝,準決勝,決勝"</formula1>
    </dataValidation>
    <dataValidation type="list" allowBlank="1" showDropDown="1" showErrorMessage="1" sqref="G4" xr:uid="{6AF00E1D-2F65-4052-84A4-5F040B299FC5}">
      <formula1>"1位トーナメント,2位トーナメント,3位トーナメント,4・5位トーナメント"</formula1>
    </dataValidation>
  </dataValidations>
  <printOptions horizontalCentered="1" verticalCentered="1"/>
  <pageMargins left="0.19685039370078738" right="0.19685039370078741" top="0.19685039370078738" bottom="0.19685039370078738" header="0" footer="0"/>
  <pageSetup paperSize="1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審判用紙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01429_yamamoto</dc:creator>
  <cp:lastModifiedBy>01429_yamamoto</cp:lastModifiedBy>
  <dcterms:created xsi:type="dcterms:W3CDTF">2026-04-03T06:06:07Z</dcterms:created>
  <dcterms:modified xsi:type="dcterms:W3CDTF">2026-04-03T06:06:52Z</dcterms:modified>
</cp:coreProperties>
</file>