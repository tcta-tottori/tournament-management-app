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予選" sheetId="1" r:id="rId5"/>
    <sheet state="visible" name="リスト" sheetId="2" r:id="rId6"/>
    <sheet state="visible" name="予選L結果" sheetId="3" r:id="rId7"/>
    <sheet state="visible" name="予選L結果(2)" sheetId="4" r:id="rId8"/>
    <sheet state="visible" name="対戦順" sheetId="5" r:id="rId9"/>
    <sheet state="visible" name="順位別トーナメント" sheetId="6" r:id="rId10"/>
    <sheet state="visible" name="審判用紙（手入力） " sheetId="7" r:id="rId11"/>
    <sheet state="visible" name="審判用紙（自動）" sheetId="8" r:id="rId12"/>
  </sheets>
  <definedNames>
    <definedName hidden="1" localSheetId="4" name="_xlnm._FilterDatabase">'対戦順'!$A$2:$K$52</definedName>
  </definedNames>
  <calcPr/>
</workbook>
</file>

<file path=xl/sharedStrings.xml><?xml version="1.0" encoding="utf-8"?>
<sst xmlns="http://schemas.openxmlformats.org/spreadsheetml/2006/main" count="1316" uniqueCount="448">
  <si>
    <r>
      <t xml:space="preserve">　    　　　　　 </t>
    </r>
    <r>
      <rPr>
        <rFont val="HG丸ｺﾞｼｯｸM-PRO"/>
        <color theme="1"/>
        <sz val="26.0"/>
      </rPr>
      <t xml:space="preserve"> サンプル</t>
    </r>
  </si>
  <si>
    <t>日程</t>
  </si>
  <si>
    <t>：</t>
  </si>
  <si>
    <r>
      <rPr>
        <rFont val="HG丸ｺﾞｼｯｸM-PRO"/>
        <color theme="1"/>
        <sz val="12.0"/>
      </rPr>
      <t>令和７年９月23日（</t>
    </r>
    <r>
      <rPr>
        <rFont val="HG丸ｺﾞｼｯｸM-PRO"/>
        <color rgb="FFFF0000"/>
        <sz val="12.0"/>
      </rPr>
      <t>祝</t>
    </r>
    <r>
      <rPr>
        <rFont val="HG丸ｺﾞｼｯｸM-PRO"/>
        <color theme="1"/>
        <sz val="12.0"/>
      </rPr>
      <t>）予備日９月３０日（</t>
    </r>
    <r>
      <rPr>
        <rFont val="HG丸ｺﾞｼｯｸM-PRO"/>
        <color rgb="FF0070C0"/>
        <sz val="12.0"/>
      </rPr>
      <t>土</t>
    </r>
    <r>
      <rPr>
        <rFont val="HG丸ｺﾞｼｯｸM-PRO"/>
        <color theme="1"/>
        <sz val="12.0"/>
      </rPr>
      <t>）</t>
    </r>
  </si>
  <si>
    <t>会場</t>
  </si>
  <si>
    <r>
      <rPr>
        <rFont val="HG丸ｺﾞｼｯｸM-PRO"/>
        <color theme="1"/>
        <sz val="12.0"/>
      </rPr>
      <t xml:space="preserve">ヤマタスポーツパークテニスコート　</t>
    </r>
    <r>
      <rPr>
        <rFont val="HG丸ｺﾞｼｯｸM-PRO"/>
        <color theme="1"/>
        <sz val="10.0"/>
      </rPr>
      <t>予備日：千代コート</t>
    </r>
  </si>
  <si>
    <t>（１） 予選・決勝共ノーアドバンテージ・６ゲームマッチ（６-６タイブレーク）　※5チームリーグ別記</t>
  </si>
  <si>
    <t>（２） 予選リーグ試合順…</t>
  </si>
  <si>
    <t>①-② ③-④ ①-③ ②-④ ①-④ ②-③　※5チームリーグ別記</t>
  </si>
  <si>
    <t>（３） リーグ戦の順位決定方法</t>
  </si>
  <si>
    <t>勝率が同じペアが２つのとき：対戦勝者が上位</t>
  </si>
  <si>
    <t>勝率が同じペアが３つのとき：取得ゲーム率が高いペアが上位とします。</t>
  </si>
  <si>
    <t>（４） 各リーグの2番目のペアに、そのリーグの進行管理をお願いします。</t>
  </si>
  <si>
    <t>（５） 大会当日の棄権があった場合、予選リーグの試合方式を変更する場合があります。</t>
  </si>
  <si>
    <t>（６） 雨天の場合の問い合わせ先　 鳥取市テニス協会　　080-1354-0278</t>
  </si>
  <si>
    <t>（７） ペア変更については期日までに連絡を頂ければ許可致します。（両ペア変更不可・市登録者に限る）</t>
  </si>
  <si>
    <t xml:space="preserve">　　　　　　　　　　連絡先・締切　９月21日(日)　FAX　0857-59-1837のみで受付</t>
  </si>
  <si>
    <t>■予選リーグ</t>
  </si>
  <si>
    <r>
      <rPr>
        <rFont val="HG丸ｺﾞｼｯｸM-PRO"/>
        <color theme="1"/>
        <sz val="11.0"/>
      </rPr>
      <t>AM8:00 開場、AM8:45 受付終了、AM9:00 試合開始</t>
    </r>
    <r>
      <rPr>
        <rFont val="HG丸ｺﾞｼｯｸM-PRO"/>
        <color theme="0"/>
        <sz val="11.0"/>
      </rPr>
      <t>2</t>
    </r>
    <r>
      <rPr>
        <rFont val="HG丸ｺﾞｼｯｸM-PRO"/>
        <color theme="1"/>
        <sz val="11.0"/>
      </rPr>
      <t xml:space="preserve">
6ゲームマッチ（6-6ﾀｲﾌﾞﾚｰｸ・ﾉｰｱﾄﾞﾊﾞﾝﾃｰｼﾞ）</t>
    </r>
  </si>
  <si>
    <r>
      <rPr>
        <rFont val="HG丸ｺﾞｼｯｸM-PRO"/>
        <b/>
        <color theme="1"/>
        <sz val="14.0"/>
      </rPr>
      <t>A</t>
    </r>
    <r>
      <rPr>
        <rFont val="HG丸ｺﾞｼｯｸM-PRO"/>
        <b/>
        <color theme="1"/>
        <sz val="9.0"/>
      </rPr>
      <t>リーグ</t>
    </r>
  </si>
  <si>
    <t>藤田 智博</t>
  </si>
  <si>
    <t>Love ALL</t>
  </si>
  <si>
    <t>岸本 健悟</t>
  </si>
  <si>
    <t>オレンジ</t>
  </si>
  <si>
    <t>西山 禎侑</t>
  </si>
  <si>
    <t>ｄｏＭｅ</t>
  </si>
  <si>
    <t>三宅 諒弥</t>
  </si>
  <si>
    <t>鳥取銀行</t>
  </si>
  <si>
    <t>1コート</t>
  </si>
  <si>
    <t>山根 陽子</t>
  </si>
  <si>
    <t>フリー</t>
  </si>
  <si>
    <t>三浦 舞子</t>
  </si>
  <si>
    <t>サニーＴＳ</t>
  </si>
  <si>
    <t>小林 さえ子</t>
  </si>
  <si>
    <t>カプリス</t>
  </si>
  <si>
    <t>山本　 桂</t>
  </si>
  <si>
    <t>たんぽぽ</t>
  </si>
  <si>
    <r>
      <rPr>
        <rFont val="HG丸ｺﾞｼｯｸM-PRO"/>
        <b/>
        <color theme="1"/>
        <sz val="14.0"/>
      </rPr>
      <t>B</t>
    </r>
    <r>
      <rPr>
        <rFont val="HG丸ｺﾞｼｯｸM-PRO"/>
        <b/>
        <color theme="1"/>
        <sz val="9.0"/>
      </rPr>
      <t>リーグ</t>
    </r>
  </si>
  <si>
    <t>常村 和仁</t>
  </si>
  <si>
    <t>完熟オレンジ</t>
  </si>
  <si>
    <t>山辺 裕司</t>
  </si>
  <si>
    <t>高垣 　護</t>
  </si>
  <si>
    <t>Drop☆Shot</t>
  </si>
  <si>
    <t>津田 智広</t>
  </si>
  <si>
    <t>ノーレット７</t>
  </si>
  <si>
    <t>２コート</t>
  </si>
  <si>
    <t>前田 良枝</t>
  </si>
  <si>
    <t>Ｚｏｎｅ</t>
  </si>
  <si>
    <t>蓼本 裕美</t>
  </si>
  <si>
    <t>門脇 春美</t>
  </si>
  <si>
    <t>あみたま</t>
  </si>
  <si>
    <t>米谷 さおり</t>
  </si>
  <si>
    <r>
      <rPr>
        <rFont val="HG丸ｺﾞｼｯｸM-PRO"/>
        <b/>
        <color theme="1"/>
        <sz val="14.0"/>
      </rPr>
      <t>C</t>
    </r>
    <r>
      <rPr>
        <rFont val="HG丸ｺﾞｼｯｸM-PRO"/>
        <b/>
        <color theme="1"/>
        <sz val="9.0"/>
      </rPr>
      <t>リーグ</t>
    </r>
  </si>
  <si>
    <t>近藤 哲生</t>
  </si>
  <si>
    <t>因幡打輪</t>
  </si>
  <si>
    <t>林原 政幸</t>
  </si>
  <si>
    <t>和気 　久</t>
  </si>
  <si>
    <t>ＢＳＣ</t>
  </si>
  <si>
    <t>山下 悠樹</t>
  </si>
  <si>
    <t>ｏｆｆ</t>
  </si>
  <si>
    <t>３コート</t>
  </si>
  <si>
    <t>前田 陽子</t>
  </si>
  <si>
    <t>林原 史子</t>
  </si>
  <si>
    <t>長川 朱美</t>
  </si>
  <si>
    <t>ロランギャロス</t>
  </si>
  <si>
    <t>田苗 真里</t>
  </si>
  <si>
    <r>
      <rPr>
        <rFont val="HG丸ｺﾞｼｯｸM-PRO"/>
        <b/>
        <color theme="1"/>
        <sz val="14.0"/>
      </rPr>
      <t>D</t>
    </r>
    <r>
      <rPr>
        <rFont val="HG丸ｺﾞｼｯｸM-PRO"/>
        <b/>
        <color theme="1"/>
        <sz val="9.0"/>
      </rPr>
      <t>リーグ</t>
    </r>
  </si>
  <si>
    <t>小谷 桂介</t>
  </si>
  <si>
    <t>Ｔ-nuts</t>
  </si>
  <si>
    <t>中里 　海</t>
  </si>
  <si>
    <t>湖山池ＴＣ</t>
  </si>
  <si>
    <t>網川 忠之</t>
  </si>
  <si>
    <t>羽馬 由和</t>
  </si>
  <si>
    <t>４コート</t>
  </si>
  <si>
    <t>小谷 佐知子</t>
  </si>
  <si>
    <t>市川 朋子</t>
  </si>
  <si>
    <t>網川佐知子</t>
  </si>
  <si>
    <t>杉原 三奈</t>
  </si>
  <si>
    <t>ジュピター</t>
  </si>
  <si>
    <r>
      <rPr>
        <rFont val="HG丸ｺﾞｼｯｸM-PRO"/>
        <b/>
        <color theme="1"/>
        <sz val="14.0"/>
      </rPr>
      <t>E</t>
    </r>
    <r>
      <rPr>
        <rFont val="HG丸ｺﾞｼｯｸM-PRO"/>
        <b/>
        <color theme="1"/>
        <sz val="9.0"/>
      </rPr>
      <t>リーグ</t>
    </r>
  </si>
  <si>
    <t>谷本 卓也</t>
  </si>
  <si>
    <t>田中 憲一</t>
  </si>
  <si>
    <t>ポップテニスプラス</t>
  </si>
  <si>
    <t>椿 誠</t>
  </si>
  <si>
    <t>町田 正雄</t>
  </si>
  <si>
    <t>５コート</t>
  </si>
  <si>
    <t>谷口 圭子</t>
  </si>
  <si>
    <t>レイリー</t>
  </si>
  <si>
    <t>山﨑 弥生</t>
  </si>
  <si>
    <t>椿 保奈瀬</t>
  </si>
  <si>
    <t>町田 聖子</t>
  </si>
  <si>
    <r>
      <rPr>
        <rFont val="HG丸ｺﾞｼｯｸM-PRO"/>
        <b/>
        <color theme="1"/>
        <sz val="14.0"/>
      </rPr>
      <t>F</t>
    </r>
    <r>
      <rPr>
        <rFont val="HG丸ｺﾞｼｯｸM-PRO"/>
        <b/>
        <color theme="1"/>
        <sz val="9.0"/>
      </rPr>
      <t>リーグ</t>
    </r>
  </si>
  <si>
    <t>杉野 隆志</t>
  </si>
  <si>
    <t>アスペック</t>
  </si>
  <si>
    <t>小谷神一郎</t>
  </si>
  <si>
    <t>朝倉章順</t>
  </si>
  <si>
    <t>山本 和弥</t>
  </si>
  <si>
    <t>６･7コート</t>
  </si>
  <si>
    <t>中村 公恵</t>
  </si>
  <si>
    <t>田園</t>
  </si>
  <si>
    <t>青木 　楓</t>
  </si>
  <si>
    <t>朝倉加世子</t>
  </si>
  <si>
    <t>濱田 久美</t>
  </si>
  <si>
    <r>
      <rPr>
        <rFont val="HG丸ｺﾞｼｯｸM-PRO"/>
        <b/>
        <color theme="1"/>
        <sz val="14.0"/>
      </rPr>
      <t>G</t>
    </r>
    <r>
      <rPr>
        <rFont val="HG丸ｺﾞｼｯｸM-PRO"/>
        <b/>
        <color theme="1"/>
        <sz val="9.0"/>
      </rPr>
      <t>リーグ</t>
    </r>
  </si>
  <si>
    <t>米村 琢巳</t>
  </si>
  <si>
    <t>松原 成哉</t>
  </si>
  <si>
    <t>田中 達也</t>
  </si>
  <si>
    <t>中村 匡延</t>
  </si>
  <si>
    <t>プラセール</t>
  </si>
  <si>
    <t>8コート</t>
  </si>
  <si>
    <t>佐藤 陽子</t>
  </si>
  <si>
    <t>ウィード</t>
  </si>
  <si>
    <t>宮島 依吹</t>
  </si>
  <si>
    <t>田渕 夕起子</t>
  </si>
  <si>
    <t>伊吹 優子</t>
  </si>
  <si>
    <r>
      <rPr>
        <rFont val="HG丸ｺﾞｼｯｸM-PRO"/>
        <b/>
        <color theme="1"/>
        <sz val="14.0"/>
      </rPr>
      <t>H</t>
    </r>
    <r>
      <rPr>
        <rFont val="HG丸ｺﾞｼｯｸM-PRO"/>
        <b/>
        <color theme="1"/>
        <sz val="9.0"/>
      </rPr>
      <t>リーグ</t>
    </r>
  </si>
  <si>
    <t>小川　拓</t>
  </si>
  <si>
    <t>坪上 雄太</t>
  </si>
  <si>
    <t>メテオスマッシュ</t>
  </si>
  <si>
    <t>砂原 　翔</t>
  </si>
  <si>
    <t>外園 真都</t>
  </si>
  <si>
    <t>鳥取環境大</t>
  </si>
  <si>
    <t>9コート</t>
  </si>
  <si>
    <t>山内 恵子</t>
  </si>
  <si>
    <t>高垣 雅美</t>
  </si>
  <si>
    <t>藤田登紀子</t>
  </si>
  <si>
    <t>船越 海希</t>
  </si>
  <si>
    <r>
      <rPr>
        <rFont val="HG丸ｺﾞｼｯｸM-PRO"/>
        <b/>
        <color theme="1"/>
        <sz val="14.0"/>
      </rPr>
      <t xml:space="preserve">I </t>
    </r>
    <r>
      <rPr>
        <rFont val="HG丸ｺﾞｼｯｸM-PRO"/>
        <b/>
        <color theme="1"/>
        <sz val="9.0"/>
      </rPr>
      <t>リーグ</t>
    </r>
  </si>
  <si>
    <t>山口 辰之</t>
  </si>
  <si>
    <t>高木 道大</t>
  </si>
  <si>
    <t>橋本 真也</t>
  </si>
  <si>
    <t>西口 幸雄</t>
  </si>
  <si>
    <t>10コート</t>
  </si>
  <si>
    <t>宮本 真有</t>
  </si>
  <si>
    <t>デネブ</t>
  </si>
  <si>
    <t>北脇 禎恵</t>
  </si>
  <si>
    <t>馬嶋由美子</t>
  </si>
  <si>
    <t>西口 栄子</t>
  </si>
  <si>
    <r>
      <rPr>
        <rFont val="HG丸ｺﾞｼｯｸM-PRO"/>
        <b/>
        <color theme="1"/>
        <sz val="14.0"/>
      </rPr>
      <t>J</t>
    </r>
    <r>
      <rPr>
        <rFont val="HG丸ｺﾞｼｯｸM-PRO"/>
        <b/>
        <color theme="1"/>
        <sz val="9.0"/>
      </rPr>
      <t>リーグ</t>
    </r>
  </si>
  <si>
    <t>細川 善貴</t>
  </si>
  <si>
    <t>柳武 　剛</t>
  </si>
  <si>
    <t>Vivace</t>
  </si>
  <si>
    <t>盛本 貴之</t>
  </si>
  <si>
    <t>高木 克憲</t>
  </si>
  <si>
    <t>11コート</t>
  </si>
  <si>
    <t>厨子沙也香</t>
  </si>
  <si>
    <t>鳥飼 明子</t>
  </si>
  <si>
    <t>仲曽真由美</t>
  </si>
  <si>
    <t>BSC</t>
  </si>
  <si>
    <t>田中 好美</t>
  </si>
  <si>
    <r>
      <rPr>
        <rFont val="HG丸ｺﾞｼｯｸM-PRO"/>
        <b/>
        <color theme="1"/>
        <sz val="14.0"/>
      </rPr>
      <t>K</t>
    </r>
    <r>
      <rPr>
        <rFont val="HG丸ｺﾞｼｯｸM-PRO"/>
        <b/>
        <color theme="1"/>
        <sz val="9.0"/>
      </rPr>
      <t>リーグ</t>
    </r>
  </si>
  <si>
    <t>丸川 康生</t>
  </si>
  <si>
    <t>田中 久夫</t>
  </si>
  <si>
    <t>難波 隆顕</t>
  </si>
  <si>
    <t>檜垣 直斗</t>
  </si>
  <si>
    <t>12コート</t>
  </si>
  <si>
    <t>山根 崇子</t>
  </si>
  <si>
    <t>林 　京子</t>
  </si>
  <si>
    <t>森　順子</t>
  </si>
  <si>
    <t>橋本 舞子</t>
  </si>
  <si>
    <t>スポーツショップハート</t>
  </si>
  <si>
    <t>小椋 浩二</t>
  </si>
  <si>
    <t>てーくおふ</t>
  </si>
  <si>
    <t>住吉 俊輝</t>
  </si>
  <si>
    <t>吉田 浩士</t>
  </si>
  <si>
    <t>藤田 和幸</t>
  </si>
  <si>
    <r>
      <rPr>
        <rFont val="HG丸ｺﾞｼｯｸM-PRO"/>
        <b/>
        <color theme="1"/>
        <sz val="14.0"/>
      </rPr>
      <t>L</t>
    </r>
    <r>
      <rPr>
        <rFont val="HG丸ｺﾞｼｯｸM-PRO"/>
        <b/>
        <color theme="1"/>
        <sz val="9.0"/>
      </rPr>
      <t>リーグ</t>
    </r>
  </si>
  <si>
    <t>前田美由紀</t>
  </si>
  <si>
    <t>福浜美佐緒</t>
  </si>
  <si>
    <t>岡田 友子</t>
  </si>
  <si>
    <t>藤田 美和</t>
  </si>
  <si>
    <t>13･14コート</t>
  </si>
  <si>
    <t>清水 貴志</t>
  </si>
  <si>
    <t xml:space="preserve"> ■６ゲーム先取（ノーアドバンテージ）
 ■試合順：①-② ③-④ ①-⑤ ②-③ ①-④ ②-⑤ ③-⑤ ②-④ ④-⑤ ①-③
 ■49番のペアの方は4チームリーグに欠場が出た場合、移動して頂く場合が有ります。</t>
  </si>
  <si>
    <t>大田 陽子</t>
  </si>
  <si>
    <t>竹安 秀平</t>
  </si>
  <si>
    <t>ＲｅＦｌｅｘ</t>
  </si>
  <si>
    <t>橋本 義斉</t>
  </si>
  <si>
    <t>井嶋 昭二</t>
  </si>
  <si>
    <t>RedHotChiliPeppers</t>
  </si>
  <si>
    <t>吉田 拳士</t>
  </si>
  <si>
    <t>サニーテニス</t>
  </si>
  <si>
    <r>
      <rPr>
        <rFont val="HG丸ｺﾞｼｯｸM-PRO"/>
        <b/>
        <color theme="1"/>
        <sz val="14.0"/>
      </rPr>
      <t>M</t>
    </r>
    <r>
      <rPr>
        <rFont val="HG丸ｺﾞｼｯｸM-PRO"/>
        <b/>
        <color theme="1"/>
        <sz val="9.0"/>
      </rPr>
      <t>リーグ</t>
    </r>
  </si>
  <si>
    <t>楠瀬 翔子</t>
  </si>
  <si>
    <t>アポロＴＣ</t>
  </si>
  <si>
    <t>今城 由美</t>
  </si>
  <si>
    <t>高木 美穂</t>
  </si>
  <si>
    <t>ラフ</t>
  </si>
  <si>
    <t>吉田 由乃</t>
  </si>
  <si>
    <t>15･16コート</t>
  </si>
  <si>
    <t>遠藤 絢弥</t>
  </si>
  <si>
    <t xml:space="preserve"> ■６ゲーム先取（ノーアドバンテージ）
 ■試合順：①-② ③-④ ①-⑤ ②-③ ①-④ ②-⑤ ③-⑤ ②-④ ④-⑤ ①-③
 ■54番のペアの方は4チームリーグに欠場が出た場合、移動して頂く場合が有ります。</t>
  </si>
  <si>
    <t>遠藤 夏希</t>
  </si>
  <si>
    <t>リーグ</t>
  </si>
  <si>
    <t>番号</t>
  </si>
  <si>
    <t>名前</t>
  </si>
  <si>
    <t>所属</t>
  </si>
  <si>
    <t>リーグ*順位</t>
  </si>
  <si>
    <t>順位</t>
  </si>
  <si>
    <t>A</t>
  </si>
  <si>
    <t>1-1</t>
  </si>
  <si>
    <t>1-2</t>
  </si>
  <si>
    <t>2-1</t>
  </si>
  <si>
    <t>2-2</t>
  </si>
  <si>
    <t>3-1</t>
  </si>
  <si>
    <t>3-2</t>
  </si>
  <si>
    <t>4-1</t>
  </si>
  <si>
    <t>4-2</t>
  </si>
  <si>
    <t>山本 桂</t>
  </si>
  <si>
    <t>B</t>
  </si>
  <si>
    <t>5-1</t>
  </si>
  <si>
    <t>5-2</t>
  </si>
  <si>
    <t>6-1</t>
  </si>
  <si>
    <t>6-2</t>
  </si>
  <si>
    <t>7-1</t>
  </si>
  <si>
    <t>高垣 護</t>
  </si>
  <si>
    <t>7-2</t>
  </si>
  <si>
    <t>8-1</t>
  </si>
  <si>
    <t>8-2</t>
  </si>
  <si>
    <t>C</t>
  </si>
  <si>
    <t>9-1</t>
  </si>
  <si>
    <t>9-2</t>
  </si>
  <si>
    <t>10-1</t>
  </si>
  <si>
    <t>10-2</t>
  </si>
  <si>
    <t>11-1</t>
  </si>
  <si>
    <t>和気 久</t>
  </si>
  <si>
    <t>11-2</t>
  </si>
  <si>
    <t>12-1</t>
  </si>
  <si>
    <t>12-2</t>
  </si>
  <si>
    <t>D</t>
  </si>
  <si>
    <t>13-1</t>
  </si>
  <si>
    <t>13-2</t>
  </si>
  <si>
    <t>14-1</t>
  </si>
  <si>
    <t>中里 海</t>
  </si>
  <si>
    <t>14-2</t>
  </si>
  <si>
    <t>15-1</t>
  </si>
  <si>
    <t>15-2</t>
  </si>
  <si>
    <t>網川 佐知子</t>
  </si>
  <si>
    <t>16-1</t>
  </si>
  <si>
    <t>16-2</t>
  </si>
  <si>
    <t>E</t>
  </si>
  <si>
    <t>17-1</t>
  </si>
  <si>
    <t>17-2</t>
  </si>
  <si>
    <t>18-1</t>
  </si>
  <si>
    <t>18-2</t>
  </si>
  <si>
    <t>19-1</t>
  </si>
  <si>
    <t>19-2</t>
  </si>
  <si>
    <t>20-1</t>
  </si>
  <si>
    <t>20-2</t>
  </si>
  <si>
    <t>F</t>
  </si>
  <si>
    <t>21-1</t>
  </si>
  <si>
    <t>21-2</t>
  </si>
  <si>
    <t>22-1</t>
  </si>
  <si>
    <t>小谷 神一郎</t>
  </si>
  <si>
    <t>22-2</t>
  </si>
  <si>
    <t>青木 楓</t>
  </si>
  <si>
    <t>23-1</t>
  </si>
  <si>
    <t>朝倉 章順</t>
  </si>
  <si>
    <t>23-2</t>
  </si>
  <si>
    <t>朝倉 加世子</t>
  </si>
  <si>
    <t>24-1</t>
  </si>
  <si>
    <t>24-2</t>
  </si>
  <si>
    <t>G</t>
  </si>
  <si>
    <t>25-1</t>
  </si>
  <si>
    <t>25-2</t>
  </si>
  <si>
    <t>26-1</t>
  </si>
  <si>
    <t>26-2</t>
  </si>
  <si>
    <t>27-1</t>
  </si>
  <si>
    <t>27-2</t>
  </si>
  <si>
    <t>28-1</t>
  </si>
  <si>
    <t>28-2</t>
  </si>
  <si>
    <t>H</t>
  </si>
  <si>
    <t>29-1</t>
  </si>
  <si>
    <t>小川 拓</t>
  </si>
  <si>
    <t>29-2</t>
  </si>
  <si>
    <t>30-1</t>
  </si>
  <si>
    <t>30-2</t>
  </si>
  <si>
    <t>31-1</t>
  </si>
  <si>
    <t>砂原 翔</t>
  </si>
  <si>
    <t>31-2</t>
  </si>
  <si>
    <t>藤田 登紀子</t>
  </si>
  <si>
    <t>32-1</t>
  </si>
  <si>
    <t>32-2</t>
  </si>
  <si>
    <t xml:space="preserve">I </t>
  </si>
  <si>
    <t>33-1</t>
  </si>
  <si>
    <t>33-2</t>
  </si>
  <si>
    <t>34-1</t>
  </si>
  <si>
    <t>34-2</t>
  </si>
  <si>
    <t>35-1</t>
  </si>
  <si>
    <t>35-2</t>
  </si>
  <si>
    <t>馬嶋 由美子</t>
  </si>
  <si>
    <t>36-1</t>
  </si>
  <si>
    <t>36-2</t>
  </si>
  <si>
    <t>J</t>
  </si>
  <si>
    <t>37-1</t>
  </si>
  <si>
    <t>37-2</t>
  </si>
  <si>
    <t>厨子 沙也香</t>
  </si>
  <si>
    <t>38-1</t>
  </si>
  <si>
    <t>柳武 剛</t>
  </si>
  <si>
    <t>38-2</t>
  </si>
  <si>
    <t>39-1</t>
  </si>
  <si>
    <t>39-2</t>
  </si>
  <si>
    <t>仲曽 真由美</t>
  </si>
  <si>
    <t>40-1</t>
  </si>
  <si>
    <t>40-2</t>
  </si>
  <si>
    <t>K</t>
  </si>
  <si>
    <t>41-1</t>
  </si>
  <si>
    <t>41-2</t>
  </si>
  <si>
    <t>42-1</t>
  </si>
  <si>
    <t>42-2</t>
  </si>
  <si>
    <t>林 京子</t>
  </si>
  <si>
    <t>43-1</t>
  </si>
  <si>
    <t>43-2</t>
  </si>
  <si>
    <t>森 順子</t>
  </si>
  <si>
    <t>44-1</t>
  </si>
  <si>
    <t>44-2</t>
  </si>
  <si>
    <t>L</t>
  </si>
  <si>
    <t>45-1</t>
  </si>
  <si>
    <t>45-2</t>
  </si>
  <si>
    <t>前田 美由紀</t>
  </si>
  <si>
    <t>46-1</t>
  </si>
  <si>
    <t>46-2</t>
  </si>
  <si>
    <t>福浜 美佐緒</t>
  </si>
  <si>
    <t>47-1</t>
  </si>
  <si>
    <t>47-2</t>
  </si>
  <si>
    <t>48-1</t>
  </si>
  <si>
    <t>48-2</t>
  </si>
  <si>
    <t>49-1</t>
  </si>
  <si>
    <t>49-2</t>
  </si>
  <si>
    <t>M</t>
  </si>
  <si>
    <t>50-1</t>
  </si>
  <si>
    <t>50-2</t>
  </si>
  <si>
    <t>51-1</t>
  </si>
  <si>
    <t>51-2</t>
  </si>
  <si>
    <t>52-1</t>
  </si>
  <si>
    <t>52-2</t>
  </si>
  <si>
    <t>53-1</t>
  </si>
  <si>
    <t>53-2</t>
  </si>
  <si>
    <t>54-1</t>
  </si>
  <si>
    <t>54-2</t>
  </si>
  <si>
    <t>選手名</t>
  </si>
  <si>
    <t>勝敗</t>
  </si>
  <si>
    <t>勝数</t>
  </si>
  <si>
    <t>勝率</t>
  </si>
  <si>
    <t>直接対決</t>
  </si>
  <si>
    <t>判定</t>
  </si>
  <si>
    <t>6-0</t>
  </si>
  <si>
    <t>4-6</t>
  </si>
  <si>
    <t>6-5</t>
  </si>
  <si>
    <t>スコア</t>
  </si>
  <si>
    <t>0-0</t>
  </si>
  <si>
    <t>W.O</t>
  </si>
  <si>
    <t>I</t>
  </si>
  <si>
    <t>1-6</t>
  </si>
  <si>
    <t>3-6</t>
  </si>
  <si>
    <t>6-4</t>
  </si>
  <si>
    <t>6-3</t>
  </si>
  <si>
    <t>トーナメント</t>
  </si>
  <si>
    <t>試合結果</t>
  </si>
  <si>
    <t>複数選択</t>
  </si>
  <si>
    <t>種目</t>
  </si>
  <si>
    <t>回線</t>
  </si>
  <si>
    <t>タイブレ</t>
  </si>
  <si>
    <t>1回線</t>
  </si>
  <si>
    <t>準々決勝</t>
  </si>
  <si>
    <t>準決勝</t>
  </si>
  <si>
    <t>決勝</t>
  </si>
  <si>
    <t>1位トーナメント</t>
  </si>
  <si>
    <t>(</t>
  </si>
  <si>
    <t>)</t>
  </si>
  <si>
    <t>①</t>
  </si>
  <si>
    <t>⑧</t>
  </si>
  <si>
    <t>②</t>
  </si>
  <si>
    <t>⑨</t>
  </si>
  <si>
    <t>③</t>
  </si>
  <si>
    <t>⑩</t>
  </si>
  <si>
    <t>④</t>
  </si>
  <si>
    <t>⑪</t>
  </si>
  <si>
    <t>⑤</t>
  </si>
  <si>
    <t>⑫</t>
  </si>
  <si>
    <t>⑥</t>
  </si>
  <si>
    <t>⑬</t>
  </si>
  <si>
    <t>⑦</t>
  </si>
  <si>
    <t>2位トーナメント</t>
  </si>
  <si>
    <t>J2</t>
  </si>
  <si>
    <t>H2</t>
  </si>
  <si>
    <t>F2</t>
  </si>
  <si>
    <t>A2</t>
  </si>
  <si>
    <t>D2</t>
  </si>
  <si>
    <t>L2</t>
  </si>
  <si>
    <t>I 2</t>
  </si>
  <si>
    <t>B2</t>
  </si>
  <si>
    <t>C2</t>
  </si>
  <si>
    <t>M2</t>
  </si>
  <si>
    <t>G2</t>
  </si>
  <si>
    <t>K2</t>
  </si>
  <si>
    <t>E2</t>
  </si>
  <si>
    <t>3位トーナメント</t>
  </si>
  <si>
    <t>J3</t>
  </si>
  <si>
    <t>F3</t>
  </si>
  <si>
    <t>M3</t>
  </si>
  <si>
    <t>E3</t>
  </si>
  <si>
    <t>B3</t>
  </si>
  <si>
    <t>A3</t>
  </si>
  <si>
    <t>D3</t>
  </si>
  <si>
    <t>K3</t>
  </si>
  <si>
    <t>H3</t>
  </si>
  <si>
    <t>I 3</t>
  </si>
  <si>
    <t>C3</t>
  </si>
  <si>
    <t>G3</t>
  </si>
  <si>
    <t>L3</t>
  </si>
  <si>
    <t>4位・5位トーナメント</t>
  </si>
  <si>
    <t>C4</t>
  </si>
  <si>
    <t>H4</t>
  </si>
  <si>
    <t>K4</t>
  </si>
  <si>
    <t>A4</t>
  </si>
  <si>
    <t>F4</t>
  </si>
  <si>
    <t>E4</t>
  </si>
  <si>
    <t>M5</t>
  </si>
  <si>
    <t>L5</t>
  </si>
  <si>
    <t>G4</t>
  </si>
  <si>
    <t>M4</t>
  </si>
  <si>
    <t>L4</t>
  </si>
  <si>
    <t>D4</t>
  </si>
  <si>
    <t>J4</t>
  </si>
  <si>
    <t>I 4</t>
  </si>
  <si>
    <t>B4</t>
  </si>
  <si>
    <t>審　判　用　紙</t>
  </si>
  <si>
    <t>令和7年9月23日</t>
  </si>
  <si>
    <t>種　目</t>
  </si>
  <si>
    <t>4・5位トーナメント</t>
  </si>
  <si>
    <t>回　戦</t>
  </si>
  <si>
    <t>コート№</t>
  </si>
  <si>
    <t>2</t>
  </si>
  <si>
    <t>試合方法</t>
  </si>
  <si>
    <r>
      <rPr>
        <rFont val="Arial"/>
        <color theme="1"/>
        <sz val="18.0"/>
      </rPr>
      <t>6ゲームマッチ</t>
    </r>
    <r>
      <rPr>
        <rFont val="Arial"/>
        <color theme="1"/>
        <sz val="12.0"/>
      </rPr>
      <t xml:space="preserve">
</t>
    </r>
    <r>
      <rPr>
        <rFont val="Arial"/>
        <color theme="1"/>
        <sz val="14.0"/>
      </rPr>
      <t xml:space="preserve">（6-6タイブレーク）
</t>
    </r>
    <r>
      <rPr>
        <rFont val="MS Gothic"/>
        <color theme="1"/>
        <sz val="12.0"/>
      </rPr>
      <t>ノーアドバンテージ</t>
    </r>
  </si>
  <si>
    <t>開始時間</t>
  </si>
  <si>
    <t xml:space="preserve"> </t>
  </si>
  <si>
    <t>エントリー№</t>
  </si>
  <si>
    <t>No.</t>
  </si>
  <si>
    <t>選 手 氏 名</t>
  </si>
  <si>
    <t>ス　コ　ア</t>
  </si>
  <si>
    <t>―</t>
  </si>
  <si>
    <t>（ＴＢ）</t>
  </si>
  <si>
    <t>（</t>
  </si>
  <si>
    <t>）</t>
  </si>
  <si>
    <r>
      <rPr>
        <rFont val="Arial"/>
        <color theme="1"/>
        <sz val="18.0"/>
      </rPr>
      <t>6ゲームマッチ</t>
    </r>
    <r>
      <rPr>
        <rFont val="Arial"/>
        <color theme="1"/>
        <sz val="12.0"/>
      </rPr>
      <t xml:space="preserve">
</t>
    </r>
    <r>
      <rPr>
        <rFont val="Arial"/>
        <color theme="1"/>
        <sz val="14.0"/>
      </rPr>
      <t xml:space="preserve">（6-6タイブレーク）
</t>
    </r>
    <r>
      <rPr>
        <rFont val="MS Gothic"/>
        <color theme="1"/>
        <sz val="12.0"/>
      </rPr>
      <t>ノーアドバンテージ</t>
    </r>
  </si>
  <si>
    <t>鳥取市テニス協会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</si>
</sst>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4">
    <font>
      <sz val="11.0"/>
      <color rgb="FF000000"/>
      <name val="Calibri"/>
      <scheme val="minor"/>
    </font>
    <font>
      <sz val="36.0"/>
      <color theme="1"/>
      <name val="HG丸ｺﾞｼｯｸM-PRO"/>
    </font>
    <font>
      <sz val="11.0"/>
      <color theme="1"/>
      <name val="HG丸ｺﾞｼｯｸM-PRO"/>
    </font>
    <font>
      <sz val="12.0"/>
      <color theme="1"/>
      <name val="HG丸ｺﾞｼｯｸM-PRO"/>
    </font>
    <font>
      <sz val="11.0"/>
      <color rgb="FFFF0000"/>
      <name val="HG丸ｺﾞｼｯｸM-PRO"/>
    </font>
    <font>
      <sz val="11.0"/>
      <color theme="1"/>
      <name val="Meiryo"/>
    </font>
    <font>
      <b/>
      <sz val="16.0"/>
      <color theme="1"/>
      <name val="HG丸ｺﾞｼｯｸM-PRO"/>
    </font>
    <font>
      <b/>
      <sz val="11.0"/>
      <color theme="1"/>
      <name val="HG丸ｺﾞｼｯｸM-PRO"/>
    </font>
    <font/>
    <font>
      <sz val="9.0"/>
      <color theme="1"/>
      <name val="HG丸ｺﾞｼｯｸM-PRO"/>
    </font>
    <font>
      <sz val="8.0"/>
      <color theme="1"/>
      <name val="HG丸ｺﾞｼｯｸM-PRO"/>
    </font>
    <font>
      <b/>
      <sz val="9.0"/>
      <color theme="1"/>
      <name val="HG丸ｺﾞｼｯｸM-PRO"/>
    </font>
    <font>
      <sz val="10.0"/>
      <color theme="1"/>
      <name val="Meiryo"/>
    </font>
    <font>
      <sz val="10.0"/>
      <color theme="1"/>
      <name val="HG丸ｺﾞｼｯｸM-PRO"/>
    </font>
    <font>
      <b/>
      <sz val="12.0"/>
      <color theme="1"/>
      <name val="HG丸ｺﾞｼｯｸM-PRO"/>
    </font>
    <font>
      <color theme="1"/>
      <name val="Calibri"/>
      <scheme val="minor"/>
    </font>
    <font>
      <color theme="1"/>
      <name val="HiraMaruProN-W4"/>
    </font>
    <font>
      <sz val="18.0"/>
      <color theme="1"/>
      <name val="HiraMaruProN-W4"/>
    </font>
    <font>
      <sz val="10.0"/>
      <color theme="1"/>
      <name val="HiraMaruProN-W4"/>
    </font>
    <font>
      <sz val="30.0"/>
      <color theme="1"/>
      <name val="HiraMaruProN-W4"/>
    </font>
    <font>
      <b/>
      <color theme="1"/>
      <name val="HiraMaruProN-W4"/>
    </font>
    <font>
      <sz val="15.0"/>
      <color theme="1"/>
      <name val="HiraMaruProN-W4"/>
    </font>
    <font>
      <sz val="13.0"/>
      <color theme="1"/>
      <name val="HiraMaruProN-W4"/>
    </font>
    <font>
      <sz val="17.0"/>
      <color theme="1"/>
      <name val="HiraMaruProN-W4"/>
    </font>
    <font>
      <sz val="14.0"/>
      <color theme="1"/>
      <name val="HiraMaruProN-W4"/>
    </font>
    <font>
      <sz val="8.0"/>
      <color theme="1"/>
      <name val="HiraMaruProN-W4"/>
    </font>
    <font>
      <sz val="9.0"/>
      <color theme="1"/>
      <name val="HiraMaruProN-W4"/>
    </font>
    <font>
      <sz val="7.0"/>
      <color theme="1"/>
      <name val="HiraMaruProN-W4"/>
    </font>
    <font>
      <sz val="11.0"/>
      <color theme="1"/>
      <name val="HiraMaruProN-W4"/>
    </font>
    <font>
      <b/>
      <color rgb="FFFF0000"/>
      <name val="Calibri"/>
      <scheme val="minor"/>
    </font>
    <font>
      <b/>
      <sz val="11.0"/>
      <color theme="1"/>
      <name val="HiraMaruProN-W4"/>
    </font>
    <font>
      <sz val="11.0"/>
      <color theme="1"/>
      <name val="Calibri"/>
    </font>
    <font>
      <color rgb="FF000000"/>
      <name val="Calibri"/>
      <scheme val="minor"/>
    </font>
    <font>
      <color theme="1"/>
      <name val="Arial"/>
    </font>
    <font>
      <sz val="11.0"/>
      <color theme="1"/>
      <name val="Arial"/>
    </font>
    <font>
      <sz val="10.0"/>
      <color theme="1"/>
      <name val="Calibri"/>
    </font>
    <font>
      <color theme="1"/>
      <name val="Calibri"/>
    </font>
    <font>
      <sz val="13.0"/>
      <color theme="1"/>
      <name val="Calibri"/>
    </font>
    <font>
      <sz val="12.0"/>
      <color theme="1"/>
      <name val="Calibri"/>
    </font>
    <font>
      <sz val="14.0"/>
      <color theme="1"/>
      <name val="Calibri"/>
    </font>
    <font>
      <sz val="12.0"/>
      <color rgb="FF333333"/>
      <name val="-apple-system"/>
    </font>
    <font>
      <sz val="12.0"/>
      <color theme="1"/>
      <name val="Arial"/>
    </font>
    <font>
      <b/>
      <sz val="32.0"/>
      <color theme="1"/>
      <name val="ＭＳ ゴシック"/>
    </font>
    <font>
      <sz val="12.0"/>
      <color theme="1"/>
      <name val="ＭＳ ゴシック"/>
    </font>
    <font>
      <sz val="14.0"/>
      <color theme="1"/>
      <name val="ＭＳ ゴシック"/>
    </font>
    <font>
      <sz val="16.0"/>
      <color theme="1"/>
      <name val="ＭＳ ゴシック"/>
    </font>
    <font>
      <sz val="24.0"/>
      <color theme="1"/>
      <name val="ＭＳ ゴシック"/>
    </font>
    <font>
      <sz val="36.0"/>
      <color theme="1"/>
      <name val="ＭＳ ゴシック"/>
    </font>
    <font>
      <sz val="22.0"/>
      <color theme="1"/>
      <name val="ＭＳ ゴシック"/>
    </font>
    <font>
      <sz val="20.0"/>
      <color theme="1"/>
      <name val="Times New Roman"/>
    </font>
    <font>
      <sz val="26.0"/>
      <color theme="1"/>
      <name val="MS PGothic"/>
    </font>
    <font>
      <sz val="20.0"/>
      <color theme="1"/>
      <name val="MS PGothic"/>
    </font>
    <font>
      <sz val="16.0"/>
      <color theme="1"/>
      <name val="MS PGothic"/>
    </font>
    <font>
      <sz val="12.0"/>
      <color theme="1"/>
      <name val="MS PGothic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5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left" vertical="center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left" vertical="center"/>
    </xf>
    <xf borderId="0" fillId="0" fontId="2" numFmtId="0" xfId="0" applyAlignment="1" applyFont="1">
      <alignment horizontal="right" shrinkToFit="1" wrapText="0"/>
    </xf>
    <xf borderId="1" fillId="0" fontId="7" numFmtId="0" xfId="0" applyAlignment="1" applyBorder="1" applyFont="1">
      <alignment horizontal="center"/>
    </xf>
    <xf borderId="2" fillId="0" fontId="8" numFmtId="0" xfId="0" applyBorder="1" applyFont="1"/>
    <xf borderId="3" fillId="0" fontId="8" numFmtId="0" xfId="0" applyBorder="1" applyFont="1"/>
    <xf borderId="1" fillId="0" fontId="9" numFmtId="0" xfId="0" applyAlignment="1" applyBorder="1" applyFont="1">
      <alignment horizontal="center" shrinkToFit="1" vertical="center" wrapText="0"/>
    </xf>
    <xf borderId="2" fillId="0" fontId="2" numFmtId="0" xfId="0" applyAlignment="1" applyBorder="1" applyFont="1">
      <alignment horizontal="center" shrinkToFit="1" wrapText="0"/>
    </xf>
    <xf borderId="2" fillId="0" fontId="9" numFmtId="0" xfId="0" applyAlignment="1" applyBorder="1" applyFont="1">
      <alignment horizontal="left" shrinkToFit="1" wrapText="0"/>
    </xf>
    <xf borderId="2" fillId="0" fontId="9" numFmtId="0" xfId="0" applyAlignment="1" applyBorder="1" applyFont="1">
      <alignment horizontal="center" shrinkToFit="1" vertical="center" wrapText="0"/>
    </xf>
    <xf borderId="0" fillId="0" fontId="2" numFmtId="0" xfId="0" applyAlignment="1" applyFont="1">
      <alignment vertical="top"/>
    </xf>
    <xf borderId="4" fillId="0" fontId="10" numFmtId="0" xfId="0" applyAlignment="1" applyBorder="1" applyFont="1">
      <alignment horizontal="center" vertical="top"/>
    </xf>
    <xf borderId="5" fillId="0" fontId="8" numFmtId="0" xfId="0" applyBorder="1" applyFont="1"/>
    <xf borderId="6" fillId="0" fontId="8" numFmtId="0" xfId="0" applyBorder="1" applyFont="1"/>
    <xf borderId="4" fillId="0" fontId="8" numFmtId="0" xfId="0" applyBorder="1" applyFont="1"/>
    <xf borderId="5" fillId="0" fontId="2" numFmtId="0" xfId="0" applyAlignment="1" applyBorder="1" applyFont="1">
      <alignment horizontal="center" shrinkToFit="1" vertical="top" wrapText="0"/>
    </xf>
    <xf borderId="5" fillId="0" fontId="9" numFmtId="0" xfId="0" applyAlignment="1" applyBorder="1" applyFont="1">
      <alignment horizontal="left" shrinkToFit="1" vertical="top" wrapText="0"/>
    </xf>
    <xf borderId="0" fillId="0" fontId="2" numFmtId="0" xfId="0" applyAlignment="1" applyFont="1">
      <alignment horizontal="center" readingOrder="0" shrinkToFit="1" vertical="top" wrapText="0"/>
    </xf>
    <xf borderId="0" fillId="0" fontId="9" numFmtId="0" xfId="0" applyAlignment="1" applyFont="1">
      <alignment horizontal="left" readingOrder="0" shrinkToFit="1" vertical="top" wrapText="0"/>
    </xf>
    <xf borderId="7" fillId="0" fontId="8" numFmtId="0" xfId="0" applyBorder="1" applyFont="1"/>
    <xf borderId="0" fillId="0" fontId="2" numFmtId="0" xfId="0" applyAlignment="1" applyFont="1">
      <alignment horizontal="center" shrinkToFit="1" vertical="top" wrapText="0"/>
    </xf>
    <xf borderId="0" fillId="0" fontId="9" numFmtId="0" xfId="0" applyAlignment="1" applyFont="1">
      <alignment horizontal="left" shrinkToFit="1" vertical="top" wrapText="0"/>
    </xf>
    <xf borderId="2" fillId="0" fontId="2" numFmtId="0" xfId="0" applyAlignment="1" applyBorder="1" applyFont="1">
      <alignment horizontal="center" readingOrder="0" shrinkToFit="1" wrapText="0"/>
    </xf>
    <xf borderId="1" fillId="0" fontId="11" numFmtId="0" xfId="0" applyAlignment="1" applyBorder="1" applyFont="1">
      <alignment horizontal="center"/>
    </xf>
    <xf borderId="8" fillId="0" fontId="10" numFmtId="0" xfId="0" applyAlignment="1" applyBorder="1" applyFont="1">
      <alignment horizontal="center" vertical="top"/>
    </xf>
    <xf borderId="8" fillId="0" fontId="11" numFmtId="0" xfId="0" applyAlignment="1" applyBorder="1" applyFont="1">
      <alignment horizontal="center"/>
    </xf>
    <xf borderId="8" fillId="0" fontId="8" numFmtId="0" xfId="0" applyBorder="1" applyFont="1"/>
    <xf borderId="9" fillId="0" fontId="9" numFmtId="0" xfId="0" applyAlignment="1" applyBorder="1" applyFont="1">
      <alignment horizontal="center" shrinkToFit="1" vertical="center" wrapText="0"/>
    </xf>
    <xf borderId="10" fillId="0" fontId="2" numFmtId="0" xfId="0" applyAlignment="1" applyBorder="1" applyFont="1">
      <alignment horizontal="center" shrinkToFit="1" wrapText="0"/>
    </xf>
    <xf borderId="10" fillId="0" fontId="8" numFmtId="0" xfId="0" applyBorder="1" applyFont="1"/>
    <xf borderId="10" fillId="0" fontId="9" numFmtId="0" xfId="0" applyAlignment="1" applyBorder="1" applyFont="1">
      <alignment horizontal="left" shrinkToFit="1" wrapText="0"/>
    </xf>
    <xf borderId="11" fillId="0" fontId="8" numFmtId="0" xfId="0" applyBorder="1" applyFont="1"/>
    <xf borderId="9" fillId="0" fontId="9" numFmtId="0" xfId="0" applyAlignment="1" applyBorder="1" applyFont="1">
      <alignment horizontal="left" shrinkToFit="1" vertical="center" wrapText="0"/>
    </xf>
    <xf borderId="4" fillId="0" fontId="11" numFmtId="0" xfId="0" applyAlignment="1" applyBorder="1" applyFont="1">
      <alignment horizontal="center"/>
    </xf>
    <xf borderId="4" fillId="0" fontId="10" numFmtId="0" xfId="0" applyAlignment="1" applyBorder="1" applyFont="1">
      <alignment horizontal="center" vertical="center"/>
    </xf>
    <xf borderId="2" fillId="0" fontId="11" numFmtId="0" xfId="0" applyBorder="1" applyFont="1"/>
    <xf borderId="2" fillId="0" fontId="7" numFmtId="0" xfId="0" applyBorder="1" applyFont="1"/>
    <xf borderId="2" fillId="0" fontId="9" numFmtId="0" xfId="0" applyAlignment="1" applyBorder="1" applyFont="1">
      <alignment shrinkToFit="1" vertical="center" wrapText="0"/>
    </xf>
    <xf borderId="2" fillId="0" fontId="2" numFmtId="0" xfId="0" applyAlignment="1" applyBorder="1" applyFont="1">
      <alignment shrinkToFit="1" wrapText="0"/>
    </xf>
    <xf borderId="2" fillId="0" fontId="9" numFmtId="0" xfId="0" applyAlignment="1" applyBorder="1" applyFont="1">
      <alignment shrinkToFit="1" wrapText="0"/>
    </xf>
    <xf borderId="0" fillId="0" fontId="10" numFmtId="0" xfId="0" applyAlignment="1" applyFont="1">
      <alignment vertical="top"/>
    </xf>
    <xf borderId="0" fillId="0" fontId="9" numFmtId="0" xfId="0" applyAlignment="1" applyFont="1">
      <alignment shrinkToFit="1" vertical="center" wrapText="0"/>
    </xf>
    <xf borderId="0" fillId="0" fontId="2" numFmtId="0" xfId="0" applyAlignment="1" applyFont="1">
      <alignment shrinkToFit="1" vertical="top" wrapText="0"/>
    </xf>
    <xf borderId="0" fillId="0" fontId="9" numFmtId="0" xfId="0" applyAlignment="1" applyFont="1">
      <alignment shrinkToFit="1" vertical="top" wrapText="0"/>
    </xf>
    <xf borderId="0" fillId="0" fontId="5" numFmtId="0" xfId="0" applyAlignment="1" applyFont="1">
      <alignment horizontal="left"/>
    </xf>
    <xf borderId="0" fillId="0" fontId="12" numFmtId="0" xfId="0" applyAlignment="1" applyFont="1">
      <alignment horizontal="right" vertical="top"/>
    </xf>
    <xf borderId="0" fillId="0" fontId="5" numFmtId="0" xfId="0" applyAlignment="1" applyFont="1">
      <alignment vertical="top"/>
    </xf>
    <xf borderId="0" fillId="0" fontId="3" numFmtId="0" xfId="0" applyAlignment="1" applyFont="1">
      <alignment horizontal="center" shrinkToFit="1" vertical="center" wrapText="0"/>
    </xf>
    <xf borderId="0" fillId="0" fontId="3" numFmtId="0" xfId="0" applyAlignment="1" applyFont="1">
      <alignment shrinkToFit="1" vertical="center" wrapText="0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2" numFmtId="0" xfId="0" applyAlignment="1" applyFont="1">
      <alignment shrinkToFit="1" vertical="center" wrapText="0"/>
    </xf>
    <xf borderId="0" fillId="0" fontId="7" numFmtId="0" xfId="0" applyAlignment="1" applyFont="1">
      <alignment horizontal="center" vertical="center"/>
    </xf>
    <xf borderId="0" fillId="0" fontId="15" numFmtId="0" xfId="0" applyAlignment="1" applyFont="1">
      <alignment readingOrder="0"/>
    </xf>
    <xf borderId="0" fillId="0" fontId="15" numFmtId="49" xfId="0" applyAlignment="1" applyFont="1" applyNumberFormat="1">
      <alignment readingOrder="0"/>
    </xf>
    <xf borderId="0" fillId="0" fontId="15" numFmtId="0" xfId="0" applyFont="1"/>
    <xf borderId="0" fillId="0" fontId="15" numFmtId="0" xfId="0" applyFont="1"/>
    <xf borderId="0" fillId="0" fontId="15" numFmtId="49" xfId="0" applyFont="1" applyNumberFormat="1"/>
    <xf borderId="0" fillId="0" fontId="16" numFmtId="0" xfId="0" applyFont="1"/>
    <xf borderId="0" fillId="0" fontId="17" numFmtId="0" xfId="0" applyAlignment="1" applyFont="1">
      <alignment horizontal="center"/>
    </xf>
    <xf borderId="0" fillId="0" fontId="18" numFmtId="0" xfId="0" applyFont="1"/>
    <xf borderId="0" fillId="0" fontId="16" numFmtId="49" xfId="0" applyFont="1" applyNumberFormat="1"/>
    <xf borderId="0" fillId="0" fontId="19" numFmtId="0" xfId="0" applyAlignment="1" applyFont="1">
      <alignment horizontal="center" vertical="top"/>
    </xf>
    <xf borderId="0" fillId="0" fontId="20" numFmtId="0" xfId="0" applyFont="1"/>
    <xf borderId="0" fillId="0" fontId="21" numFmtId="0" xfId="0" applyAlignment="1" applyFont="1">
      <alignment horizontal="right" readingOrder="0" vertical="bottom"/>
    </xf>
    <xf borderId="12" fillId="0" fontId="16" numFmtId="0" xfId="0" applyAlignment="1" applyBorder="1" applyFont="1">
      <alignment horizontal="center" vertical="center"/>
    </xf>
    <xf borderId="13" fillId="0" fontId="8" numFmtId="0" xfId="0" applyBorder="1" applyFont="1"/>
    <xf borderId="14" fillId="0" fontId="8" numFmtId="0" xfId="0" applyBorder="1" applyFont="1"/>
    <xf borderId="15" fillId="0" fontId="16" numFmtId="49" xfId="0" applyAlignment="1" applyBorder="1" applyFont="1" applyNumberFormat="1">
      <alignment horizontal="center" vertical="center"/>
    </xf>
    <xf borderId="14" fillId="0" fontId="16" numFmtId="49" xfId="0" applyAlignment="1" applyBorder="1" applyFont="1" applyNumberFormat="1">
      <alignment horizontal="center" vertical="center"/>
    </xf>
    <xf borderId="16" fillId="0" fontId="16" numFmtId="0" xfId="0" applyAlignment="1" applyBorder="1" applyFont="1">
      <alignment horizontal="center" vertical="center"/>
    </xf>
    <xf borderId="14" fillId="0" fontId="16" numFmtId="0" xfId="0" applyAlignment="1" applyBorder="1" applyFont="1">
      <alignment horizontal="center" vertical="center"/>
    </xf>
    <xf borderId="16" fillId="0" fontId="16" numFmtId="0" xfId="0" applyAlignment="1" applyBorder="1" applyFont="1">
      <alignment horizontal="center" vertical="bottom"/>
    </xf>
    <xf borderId="14" fillId="0" fontId="16" numFmtId="0" xfId="0" applyAlignment="1" applyBorder="1" applyFont="1">
      <alignment horizontal="center" vertical="bottom"/>
    </xf>
    <xf borderId="14" fillId="0" fontId="16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vertical="center"/>
    </xf>
    <xf borderId="17" fillId="0" fontId="22" numFmtId="0" xfId="0" applyAlignment="1" applyBorder="1" applyFont="1">
      <alignment horizontal="right" vertical="center"/>
    </xf>
    <xf borderId="0" fillId="0" fontId="22" numFmtId="0" xfId="0" applyAlignment="1" applyFont="1">
      <alignment horizontal="center" vertical="bottom"/>
    </xf>
    <xf borderId="18" fillId="0" fontId="18" numFmtId="0" xfId="0" applyAlignment="1" applyBorder="1" applyFont="1">
      <alignment horizontal="center" vertical="bottom"/>
    </xf>
    <xf borderId="7" fillId="0" fontId="23" numFmtId="49" xfId="0" applyBorder="1" applyFont="1" applyNumberFormat="1"/>
    <xf borderId="19" fillId="0" fontId="23" numFmtId="49" xfId="0" applyAlignment="1" applyBorder="1" applyFont="1" applyNumberFormat="1">
      <alignment horizontal="center" readingOrder="0" vertical="center"/>
    </xf>
    <xf borderId="20" fillId="0" fontId="23" numFmtId="49" xfId="0" applyAlignment="1" applyBorder="1" applyFont="1" applyNumberFormat="1">
      <alignment horizontal="center" readingOrder="0" vertical="center"/>
    </xf>
    <xf borderId="18" fillId="0" fontId="24" numFmtId="0" xfId="0" applyAlignment="1" applyBorder="1" applyFont="1">
      <alignment horizontal="center" vertical="center"/>
    </xf>
    <xf borderId="18" fillId="0" fontId="23" numFmtId="0" xfId="0" applyAlignment="1" applyBorder="1" applyFont="1">
      <alignment horizontal="center" vertical="center"/>
    </xf>
    <xf borderId="21" fillId="0" fontId="23" numFmtId="0" xfId="0" applyAlignment="1" applyBorder="1" applyFont="1">
      <alignment horizontal="center" vertical="center"/>
    </xf>
    <xf borderId="18" fillId="0" fontId="16" numFmtId="0" xfId="0" applyAlignment="1" applyBorder="1" applyFont="1">
      <alignment horizontal="center" vertical="center"/>
    </xf>
    <xf borderId="18" fillId="0" fontId="24" numFmtId="164" xfId="0" applyAlignment="1" applyBorder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17" fillId="0" fontId="8" numFmtId="0" xfId="0" applyBorder="1" applyFont="1"/>
    <xf borderId="0" fillId="0" fontId="22" numFmtId="0" xfId="0" applyAlignment="1" applyFont="1">
      <alignment horizontal="right" vertical="center"/>
    </xf>
    <xf borderId="0" fillId="0" fontId="22" numFmtId="0" xfId="0" applyAlignment="1" applyFont="1">
      <alignment vertical="center"/>
    </xf>
    <xf borderId="18" fillId="0" fontId="18" numFmtId="0" xfId="0" applyAlignment="1" applyBorder="1" applyFont="1">
      <alignment horizontal="center" vertical="center"/>
    </xf>
    <xf borderId="19" fillId="0" fontId="8" numFmtId="0" xfId="0" applyBorder="1" applyFont="1"/>
    <xf borderId="20" fillId="0" fontId="8" numFmtId="0" xfId="0" applyBorder="1" applyFont="1"/>
    <xf borderId="18" fillId="0" fontId="8" numFmtId="0" xfId="0" applyBorder="1" applyFont="1"/>
    <xf borderId="21" fillId="0" fontId="8" numFmtId="0" xfId="0" applyBorder="1" applyFont="1"/>
    <xf borderId="18" fillId="0" fontId="22" numFmtId="164" xfId="0" applyAlignment="1" applyBorder="1" applyFont="1" applyNumberFormat="1">
      <alignment horizontal="center" vertical="center"/>
    </xf>
    <xf borderId="22" fillId="0" fontId="8" numFmtId="0" xfId="0" applyBorder="1" applyFont="1"/>
    <xf borderId="5" fillId="0" fontId="22" numFmtId="0" xfId="0" applyAlignment="1" applyBorder="1" applyFont="1">
      <alignment horizontal="center" vertical="top"/>
    </xf>
    <xf borderId="23" fillId="0" fontId="18" numFmtId="0" xfId="0" applyAlignment="1" applyBorder="1" applyFont="1">
      <alignment horizontal="center" vertical="top"/>
    </xf>
    <xf borderId="24" fillId="0" fontId="8" numFmtId="0" xfId="0" applyBorder="1" applyFont="1"/>
    <xf borderId="25" fillId="0" fontId="8" numFmtId="0" xfId="0" applyBorder="1" applyFont="1"/>
    <xf borderId="23" fillId="0" fontId="8" numFmtId="0" xfId="0" applyBorder="1" applyFont="1"/>
    <xf borderId="26" fillId="0" fontId="8" numFmtId="0" xfId="0" applyBorder="1" applyFont="1"/>
    <xf borderId="27" fillId="0" fontId="22" numFmtId="0" xfId="0" applyAlignment="1" applyBorder="1" applyFont="1">
      <alignment horizontal="right" vertical="center"/>
    </xf>
    <xf borderId="7" fillId="0" fontId="23" numFmtId="49" xfId="0" applyAlignment="1" applyBorder="1" applyFont="1" applyNumberFormat="1">
      <alignment horizontal="center" readingOrder="0" vertical="center"/>
    </xf>
    <xf borderId="28" fillId="0" fontId="23" numFmtId="49" xfId="0" applyBorder="1" applyFont="1" applyNumberFormat="1"/>
    <xf borderId="3" fillId="0" fontId="23" numFmtId="49" xfId="0" applyAlignment="1" applyBorder="1" applyFont="1" applyNumberFormat="1">
      <alignment horizontal="center" vertical="center"/>
    </xf>
    <xf borderId="1" fillId="0" fontId="23" numFmtId="49" xfId="0" applyBorder="1" applyFont="1" applyNumberFormat="1"/>
    <xf borderId="21" fillId="0" fontId="24" numFmtId="0" xfId="0" applyAlignment="1" applyBorder="1" applyFont="1">
      <alignment horizontal="center" vertical="center"/>
    </xf>
    <xf borderId="29" fillId="0" fontId="8" numFmtId="0" xfId="0" applyBorder="1" applyFont="1"/>
    <xf borderId="30" fillId="0" fontId="22" numFmtId="0" xfId="0" applyAlignment="1" applyBorder="1" applyFont="1">
      <alignment horizontal="center" vertical="top"/>
    </xf>
    <xf borderId="30" fillId="0" fontId="8" numFmtId="0" xfId="0" applyBorder="1" applyFont="1"/>
    <xf borderId="31" fillId="0" fontId="18" numFmtId="0" xfId="0" applyAlignment="1" applyBorder="1" applyFont="1">
      <alignment horizontal="center" vertical="top"/>
    </xf>
    <xf borderId="32" fillId="0" fontId="8" numFmtId="0" xfId="0" applyBorder="1" applyFont="1"/>
    <xf borderId="33" fillId="0" fontId="8" numFmtId="0" xfId="0" applyBorder="1" applyFont="1"/>
    <xf borderId="34" fillId="0" fontId="8" numFmtId="0" xfId="0" applyBorder="1" applyFont="1"/>
    <xf borderId="31" fillId="0" fontId="8" numFmtId="0" xfId="0" applyBorder="1" applyFont="1"/>
    <xf borderId="23" fillId="0" fontId="25" numFmtId="0" xfId="0" applyAlignment="1" applyBorder="1" applyFont="1">
      <alignment horizontal="center" vertical="top"/>
    </xf>
    <xf borderId="35" fillId="0" fontId="23" numFmtId="49" xfId="0" applyBorder="1" applyFont="1" applyNumberFormat="1"/>
    <xf borderId="36" fillId="0" fontId="8" numFmtId="0" xfId="0" applyBorder="1" applyFont="1"/>
    <xf borderId="27" fillId="2" fontId="22" numFmtId="0" xfId="0" applyAlignment="1" applyBorder="1" applyFill="1" applyFont="1">
      <alignment horizontal="right" vertical="center"/>
    </xf>
    <xf borderId="0" fillId="2" fontId="22" numFmtId="0" xfId="0" applyAlignment="1" applyFont="1">
      <alignment horizontal="center" vertical="bottom"/>
    </xf>
    <xf borderId="18" fillId="2" fontId="18" numFmtId="0" xfId="0" applyAlignment="1" applyBorder="1" applyFont="1">
      <alignment horizontal="center" vertical="bottom"/>
    </xf>
    <xf borderId="7" fillId="2" fontId="23" numFmtId="49" xfId="0" applyAlignment="1" applyBorder="1" applyFont="1" applyNumberFormat="1">
      <alignment horizontal="center" readingOrder="0" vertical="center"/>
    </xf>
    <xf borderId="28" fillId="2" fontId="23" numFmtId="49" xfId="0" applyBorder="1" applyFont="1" applyNumberFormat="1"/>
    <xf borderId="19" fillId="2" fontId="23" numFmtId="49" xfId="0" applyAlignment="1" applyBorder="1" applyFont="1" applyNumberFormat="1">
      <alignment horizontal="center" readingOrder="0" vertical="center"/>
    </xf>
    <xf borderId="20" fillId="2" fontId="23" numFmtId="49" xfId="0" applyAlignment="1" applyBorder="1" applyFont="1" applyNumberFormat="1">
      <alignment horizontal="center" readingOrder="0" vertical="center"/>
    </xf>
    <xf borderId="18" fillId="2" fontId="24" numFmtId="0" xfId="0" applyAlignment="1" applyBorder="1" applyFont="1">
      <alignment horizontal="center" vertical="center"/>
    </xf>
    <xf borderId="18" fillId="2" fontId="23" numFmtId="0" xfId="0" applyAlignment="1" applyBorder="1" applyFont="1">
      <alignment horizontal="center" readingOrder="0" vertical="center"/>
    </xf>
    <xf borderId="0" fillId="2" fontId="16" numFmtId="0" xfId="0" applyFont="1"/>
    <xf borderId="21" fillId="2" fontId="23" numFmtId="0" xfId="0" applyAlignment="1" applyBorder="1" applyFont="1">
      <alignment horizontal="center" vertical="center"/>
    </xf>
    <xf borderId="18" fillId="2" fontId="16" numFmtId="0" xfId="0" applyAlignment="1" applyBorder="1" applyFont="1">
      <alignment horizontal="center" vertical="center"/>
    </xf>
    <xf borderId="18" fillId="2" fontId="23" numFmtId="0" xfId="0" applyAlignment="1" applyBorder="1" applyFont="1">
      <alignment horizontal="center" vertical="center"/>
    </xf>
    <xf borderId="18" fillId="2" fontId="24" numFmtId="164" xfId="0" applyAlignment="1" applyBorder="1" applyFont="1" applyNumberFormat="1">
      <alignment horizontal="center" vertical="center"/>
    </xf>
    <xf borderId="0" fillId="2" fontId="22" numFmtId="0" xfId="0" applyAlignment="1" applyFont="1">
      <alignment horizontal="right" vertical="center"/>
    </xf>
    <xf borderId="0" fillId="2" fontId="22" numFmtId="0" xfId="0" applyAlignment="1" applyFont="1">
      <alignment vertical="center"/>
    </xf>
    <xf borderId="18" fillId="2" fontId="18" numFmtId="0" xfId="0" applyAlignment="1" applyBorder="1" applyFont="1">
      <alignment horizontal="center" vertical="center"/>
    </xf>
    <xf borderId="18" fillId="2" fontId="22" numFmtId="164" xfId="0" applyAlignment="1" applyBorder="1" applyFont="1" applyNumberFormat="1">
      <alignment horizontal="center" vertical="center"/>
    </xf>
    <xf borderId="5" fillId="2" fontId="22" numFmtId="0" xfId="0" applyAlignment="1" applyBorder="1" applyFont="1">
      <alignment horizontal="center" vertical="top"/>
    </xf>
    <xf borderId="23" fillId="2" fontId="18" numFmtId="0" xfId="0" applyAlignment="1" applyBorder="1" applyFont="1">
      <alignment horizontal="center" vertical="top"/>
    </xf>
    <xf borderId="18" fillId="0" fontId="25" numFmtId="0" xfId="0" applyAlignment="1" applyBorder="1" applyFont="1">
      <alignment horizontal="center" vertical="bottom"/>
    </xf>
    <xf borderId="18" fillId="0" fontId="26" numFmtId="0" xfId="0" applyAlignment="1" applyBorder="1" applyFont="1">
      <alignment horizontal="center" vertical="bottom"/>
    </xf>
    <xf borderId="31" fillId="0" fontId="27" numFmtId="0" xfId="0" applyAlignment="1" applyBorder="1" applyFont="1">
      <alignment horizontal="center" vertical="top"/>
    </xf>
    <xf borderId="0" fillId="0" fontId="17" numFmtId="4" xfId="0" applyAlignment="1" applyFont="1" applyNumberFormat="1">
      <alignment horizontal="center"/>
    </xf>
    <xf borderId="0" fillId="0" fontId="19" numFmtId="4" xfId="0" applyAlignment="1" applyFont="1" applyNumberFormat="1">
      <alignment horizontal="center" readingOrder="0" vertical="top"/>
    </xf>
    <xf borderId="12" fillId="0" fontId="16" numFmtId="4" xfId="0" applyAlignment="1" applyBorder="1" applyFont="1" applyNumberFormat="1">
      <alignment horizontal="center" vertical="center"/>
    </xf>
    <xf borderId="17" fillId="0" fontId="22" numFmtId="0" xfId="0" applyAlignment="1" applyBorder="1" applyFont="1">
      <alignment horizontal="right" readingOrder="0" vertical="center"/>
    </xf>
    <xf borderId="8" fillId="0" fontId="23" numFmtId="49" xfId="0" applyAlignment="1" applyBorder="1" applyFont="1" applyNumberFormat="1">
      <alignment horizontal="center" readingOrder="0" vertical="center"/>
    </xf>
    <xf borderId="27" fillId="0" fontId="22" numFmtId="0" xfId="0" applyAlignment="1" applyBorder="1" applyFont="1">
      <alignment horizontal="right" readingOrder="0" vertical="center"/>
    </xf>
    <xf borderId="31" fillId="0" fontId="8" numFmtId="0" xfId="0" applyBorder="1" applyFont="1"/>
    <xf borderId="0" fillId="0" fontId="22" numFmtId="0" xfId="0" applyAlignment="1" applyFont="1">
      <alignment horizontal="right" readingOrder="0" vertical="center"/>
    </xf>
    <xf borderId="0" fillId="0" fontId="22" numFmtId="0" xfId="0" applyAlignment="1" applyFont="1">
      <alignment horizontal="center" vertical="top"/>
    </xf>
    <xf borderId="0" fillId="0" fontId="18" numFmtId="0" xfId="0" applyAlignment="1" applyFont="1">
      <alignment horizontal="center" vertical="top"/>
    </xf>
    <xf borderId="0" fillId="0" fontId="23" numFmtId="49" xfId="0" applyAlignment="1" applyFont="1" applyNumberFormat="1">
      <alignment horizontal="center" vertical="center"/>
    </xf>
    <xf borderId="0" fillId="0" fontId="23" numFmtId="49" xfId="0" applyAlignment="1" applyFont="1" applyNumberFormat="1">
      <alignment horizontal="center" readingOrder="0" vertical="center"/>
    </xf>
    <xf borderId="0" fillId="0" fontId="23" numFmtId="49" xfId="0" applyFont="1" applyNumberFormat="1"/>
    <xf borderId="0" fillId="0" fontId="24" numFmtId="0" xfId="0" applyAlignment="1" applyFont="1">
      <alignment horizontal="center" vertical="center"/>
    </xf>
    <xf borderId="0" fillId="0" fontId="22" numFmtId="164" xfId="0" applyAlignment="1" applyFont="1" applyNumberFormat="1">
      <alignment horizontal="center" vertical="center"/>
    </xf>
    <xf borderId="0" fillId="0" fontId="24" numFmtId="164" xfId="0" applyAlignment="1" applyFont="1" applyNumberFormat="1">
      <alignment horizontal="center" vertical="center"/>
    </xf>
    <xf borderId="0" fillId="3" fontId="16" numFmtId="0" xfId="0" applyAlignment="1" applyFill="1" applyFont="1">
      <alignment horizontal="center" readingOrder="0"/>
    </xf>
    <xf borderId="0" fillId="3" fontId="28" numFmtId="0" xfId="0" applyAlignment="1" applyFont="1">
      <alignment horizontal="center" vertical="bottom"/>
    </xf>
    <xf borderId="0" fillId="3" fontId="29" numFmtId="0" xfId="0" applyAlignment="1" applyFont="1">
      <alignment horizontal="center" readingOrder="0"/>
    </xf>
    <xf borderId="0" fillId="3" fontId="30" numFmtId="0" xfId="0" applyAlignment="1" applyFont="1">
      <alignment horizontal="right" vertical="bottom"/>
    </xf>
    <xf borderId="0" fillId="3" fontId="25" numFmtId="0" xfId="0" applyAlignment="1" applyFont="1">
      <alignment horizontal="center" readingOrder="0"/>
    </xf>
    <xf borderId="0" fillId="4" fontId="16" numFmtId="0" xfId="0" applyFill="1" applyFont="1"/>
    <xf borderId="0" fillId="4" fontId="16" numFmtId="0" xfId="0" applyAlignment="1" applyFont="1">
      <alignment readingOrder="0"/>
    </xf>
    <xf borderId="0" fillId="4" fontId="31" numFmtId="0" xfId="0" applyAlignment="1" applyFont="1">
      <alignment horizontal="right" vertical="bottom"/>
    </xf>
    <xf borderId="0" fillId="4" fontId="31" numFmtId="0" xfId="0" applyAlignment="1" applyFont="1">
      <alignment horizontal="right" vertical="bottom"/>
    </xf>
    <xf borderId="0" fillId="4" fontId="32" numFmtId="0" xfId="0" applyAlignment="1" applyFont="1">
      <alignment readingOrder="0"/>
    </xf>
    <xf borderId="0" fillId="0" fontId="16" numFmtId="0" xfId="0" applyFont="1"/>
    <xf borderId="0" fillId="0" fontId="16" numFmtId="0" xfId="0" applyAlignment="1" applyFont="1">
      <alignment readingOrder="0"/>
    </xf>
    <xf borderId="0" fillId="0" fontId="31" numFmtId="0" xfId="0" applyAlignment="1" applyFont="1">
      <alignment horizontal="right" vertical="bottom"/>
    </xf>
    <xf borderId="0" fillId="0" fontId="32" numFmtId="0" xfId="0" applyAlignment="1" applyFont="1">
      <alignment readingOrder="0"/>
    </xf>
    <xf borderId="0" fillId="0" fontId="11" numFmtId="0" xfId="0" applyFont="1"/>
    <xf borderId="0" fillId="0" fontId="6" numFmtId="0" xfId="0" applyAlignment="1" applyFont="1">
      <alignment horizontal="center" shrinkToFit="1" vertical="center" wrapText="0"/>
    </xf>
    <xf borderId="0" fillId="0" fontId="7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1" wrapText="0"/>
    </xf>
    <xf borderId="0" fillId="0" fontId="13" numFmtId="0" xfId="0" applyAlignment="1" applyFont="1">
      <alignment shrinkToFit="1" vertical="center" wrapText="0"/>
    </xf>
    <xf borderId="0" fillId="0" fontId="13" numFmtId="0" xfId="0" applyAlignment="1" applyFont="1">
      <alignment horizontal="center" shrinkToFit="1" vertical="center" wrapText="0"/>
    </xf>
    <xf borderId="37" fillId="0" fontId="6" numFmtId="0" xfId="0" applyAlignment="1" applyBorder="1" applyFont="1">
      <alignment horizontal="center" shrinkToFit="1" vertical="center" wrapText="0"/>
    </xf>
    <xf borderId="38" fillId="0" fontId="8" numFmtId="0" xfId="0" applyBorder="1" applyFont="1"/>
    <xf borderId="39" fillId="0" fontId="8" numFmtId="0" xfId="0" applyBorder="1" applyFont="1"/>
    <xf borderId="0" fillId="0" fontId="33" numFmtId="0" xfId="0" applyAlignment="1" applyFont="1">
      <alignment horizontal="center"/>
    </xf>
    <xf borderId="0" fillId="0" fontId="34" numFmtId="0" xfId="0" applyAlignment="1" applyFont="1">
      <alignment horizontal="center" shrinkToFit="0" wrapText="1"/>
    </xf>
    <xf borderId="0" fillId="0" fontId="33" numFmtId="0" xfId="0" applyAlignment="1" applyFont="1">
      <alignment vertical="bottom"/>
    </xf>
    <xf borderId="0" fillId="0" fontId="35" numFmtId="0" xfId="0" applyAlignment="1" applyFont="1">
      <alignment horizontal="center"/>
    </xf>
    <xf borderId="0" fillId="0" fontId="36" numFmtId="0" xfId="0" applyAlignment="1" applyFont="1">
      <alignment horizontal="center"/>
    </xf>
    <xf borderId="0" fillId="0" fontId="37" numFmtId="0" xfId="0" applyAlignment="1" applyFont="1">
      <alignment horizontal="center" readingOrder="0" vertical="center"/>
    </xf>
    <xf borderId="0" fillId="0" fontId="35" numFmtId="0" xfId="0" applyAlignment="1" applyFont="1">
      <alignment horizontal="center" shrinkToFit="0" wrapText="1"/>
    </xf>
    <xf borderId="5" fillId="0" fontId="38" numFmtId="0" xfId="0" applyAlignment="1" applyBorder="1" applyFont="1">
      <alignment readingOrder="0" vertical="bottom"/>
    </xf>
    <xf borderId="5" fillId="0" fontId="38" numFmtId="0" xfId="0" applyAlignment="1" applyBorder="1" applyFont="1">
      <alignment vertical="bottom"/>
    </xf>
    <xf borderId="5" fillId="0" fontId="39" numFmtId="0" xfId="0" applyAlignment="1" applyBorder="1" applyFont="1">
      <alignment horizontal="left" vertical="bottom"/>
    </xf>
    <xf borderId="0" fillId="0" fontId="39" numFmtId="0" xfId="0" applyAlignment="1" applyFont="1">
      <alignment horizontal="left" vertical="bottom"/>
    </xf>
    <xf borderId="0" fillId="0" fontId="38" numFmtId="0" xfId="0" applyAlignment="1" applyFont="1">
      <alignment vertical="bottom"/>
    </xf>
    <xf borderId="0" fillId="0" fontId="39" numFmtId="0" xfId="0" applyAlignment="1" applyFont="1">
      <alignment vertical="bottom"/>
    </xf>
    <xf borderId="0" fillId="0" fontId="39" numFmtId="0" xfId="0" applyAlignment="1" applyFont="1">
      <alignment horizontal="center"/>
    </xf>
    <xf borderId="0" fillId="0" fontId="38" numFmtId="0" xfId="0" applyAlignment="1" applyFont="1">
      <alignment horizontal="center"/>
    </xf>
    <xf borderId="0" fillId="0" fontId="36" numFmtId="0" xfId="0" applyAlignment="1" applyFont="1">
      <alignment horizontal="center" vertical="top"/>
    </xf>
    <xf borderId="0" fillId="0" fontId="35" numFmtId="0" xfId="0" applyAlignment="1" applyFont="1">
      <alignment horizontal="center" shrinkToFit="0" vertical="top" wrapText="1"/>
    </xf>
    <xf borderId="2" fillId="0" fontId="31" numFmtId="0" xfId="0" applyAlignment="1" applyBorder="1" applyFont="1">
      <alignment vertical="bottom"/>
    </xf>
    <xf borderId="2" fillId="0" fontId="38" numFmtId="0" xfId="0" applyAlignment="1" applyBorder="1" applyFont="1">
      <alignment vertical="bottom"/>
    </xf>
    <xf borderId="2" fillId="0" fontId="39" numFmtId="0" xfId="0" applyAlignment="1" applyBorder="1" applyFont="1">
      <alignment horizontal="left" vertical="bottom"/>
    </xf>
    <xf borderId="3" fillId="0" fontId="39" numFmtId="0" xfId="0" applyAlignment="1" applyBorder="1" applyFont="1">
      <alignment horizontal="left" vertical="bottom"/>
    </xf>
    <xf borderId="0" fillId="0" fontId="39" numFmtId="0" xfId="0" applyAlignment="1" applyFont="1">
      <alignment horizontal="left" readingOrder="0" vertical="bottom"/>
    </xf>
    <xf borderId="0" fillId="0" fontId="39" numFmtId="0" xfId="0" applyAlignment="1" applyFont="1">
      <alignment readingOrder="0" vertical="bottom"/>
    </xf>
    <xf borderId="1" fillId="0" fontId="39" numFmtId="0" xfId="0" applyAlignment="1" applyBorder="1" applyFont="1">
      <alignment horizontal="center"/>
    </xf>
    <xf borderId="2" fillId="0" fontId="39" numFmtId="0" xfId="0" applyAlignment="1" applyBorder="1" applyFont="1">
      <alignment horizontal="center"/>
    </xf>
    <xf borderId="2" fillId="0" fontId="38" numFmtId="0" xfId="0" applyAlignment="1" applyBorder="1" applyFont="1">
      <alignment horizontal="center"/>
    </xf>
    <xf borderId="2" fillId="0" fontId="31" numFmtId="0" xfId="0" applyAlignment="1" applyBorder="1" applyFont="1">
      <alignment horizontal="center"/>
    </xf>
    <xf borderId="1" fillId="0" fontId="39" numFmtId="0" xfId="0" applyAlignment="1" applyBorder="1" applyFont="1">
      <alignment horizontal="left" readingOrder="0" vertical="top"/>
    </xf>
    <xf borderId="1" fillId="0" fontId="39" numFmtId="0" xfId="0" applyAlignment="1" applyBorder="1" applyFont="1">
      <alignment vertical="bottom"/>
    </xf>
    <xf borderId="3" fillId="0" fontId="39" numFmtId="0" xfId="0" applyAlignment="1" applyBorder="1" applyFont="1">
      <alignment readingOrder="0" vertical="top"/>
    </xf>
    <xf borderId="3" fillId="0" fontId="38" numFmtId="0" xfId="0" applyAlignment="1" applyBorder="1" applyFont="1">
      <alignment vertical="bottom"/>
    </xf>
    <xf borderId="5" fillId="0" fontId="39" numFmtId="0" xfId="0" applyAlignment="1" applyBorder="1" applyFont="1">
      <alignment horizontal="left" readingOrder="0" vertical="bottom"/>
    </xf>
    <xf borderId="8" fillId="0" fontId="39" numFmtId="0" xfId="0" applyAlignment="1" applyBorder="1" applyFont="1">
      <alignment horizontal="left" vertical="bottom"/>
    </xf>
    <xf borderId="7" fillId="0" fontId="39" numFmtId="0" xfId="0" applyAlignment="1" applyBorder="1" applyFont="1">
      <alignment horizontal="left" vertical="bottom"/>
    </xf>
    <xf borderId="8" fillId="0" fontId="39" numFmtId="0" xfId="0" applyAlignment="1" applyBorder="1" applyFont="1">
      <alignment vertical="bottom"/>
    </xf>
    <xf borderId="7" fillId="0" fontId="39" numFmtId="0" xfId="0" applyAlignment="1" applyBorder="1" applyFont="1">
      <alignment vertical="bottom"/>
    </xf>
    <xf borderId="0" fillId="0" fontId="39" numFmtId="0" xfId="0" applyAlignment="1" applyFont="1">
      <alignment horizontal="center" readingOrder="0"/>
    </xf>
    <xf borderId="1" fillId="0" fontId="38" numFmtId="0" xfId="0" applyAlignment="1" applyBorder="1" applyFont="1">
      <alignment horizontal="center"/>
    </xf>
    <xf borderId="6" fillId="0" fontId="38" numFmtId="0" xfId="0" applyAlignment="1" applyBorder="1" applyFont="1">
      <alignment vertical="bottom"/>
    </xf>
    <xf borderId="0" fillId="0" fontId="39" numFmtId="0" xfId="0" applyAlignment="1" applyFont="1">
      <alignment horizontal="left" readingOrder="0" vertical="top"/>
    </xf>
    <xf borderId="8" fillId="0" fontId="31" numFmtId="0" xfId="0" applyAlignment="1" applyBorder="1" applyFont="1">
      <alignment horizontal="center" readingOrder="0" vertical="bottom"/>
    </xf>
    <xf borderId="3" fillId="0" fontId="39" numFmtId="0" xfId="0" applyAlignment="1" applyBorder="1" applyFont="1">
      <alignment horizontal="center" readingOrder="0" vertical="top"/>
    </xf>
    <xf borderId="5" fillId="0" fontId="38" numFmtId="0" xfId="0" applyAlignment="1" applyBorder="1" applyFont="1">
      <alignment horizontal="center"/>
    </xf>
    <xf borderId="0" fillId="0" fontId="31" numFmtId="0" xfId="0" applyAlignment="1" applyFont="1">
      <alignment vertical="bottom"/>
    </xf>
    <xf borderId="8" fillId="0" fontId="39" numFmtId="0" xfId="0" applyAlignment="1" applyBorder="1" applyFont="1">
      <alignment horizontal="center" readingOrder="0" vertical="top"/>
    </xf>
    <xf borderId="0" fillId="0" fontId="31" numFmtId="0" xfId="0" applyAlignment="1" applyFont="1">
      <alignment horizontal="center"/>
    </xf>
    <xf borderId="4" fillId="0" fontId="39" numFmtId="0" xfId="0" applyAlignment="1" applyBorder="1" applyFont="1">
      <alignment horizontal="left" readingOrder="0" vertical="bottom"/>
    </xf>
    <xf borderId="4" fillId="0" fontId="38" numFmtId="0" xfId="0" applyAlignment="1" applyBorder="1" applyFont="1">
      <alignment vertical="bottom"/>
    </xf>
    <xf borderId="6" fillId="0" fontId="39" numFmtId="0" xfId="0" applyAlignment="1" applyBorder="1" applyFont="1">
      <alignment readingOrder="0" vertical="bottom"/>
    </xf>
    <xf borderId="0" fillId="0" fontId="39" numFmtId="0" xfId="0" applyAlignment="1" applyFont="1">
      <alignment horizontal="right"/>
    </xf>
    <xf borderId="0" fillId="5" fontId="40" numFmtId="0" xfId="0" applyAlignment="1" applyFill="1" applyFont="1">
      <alignment readingOrder="0"/>
    </xf>
    <xf borderId="0" fillId="0" fontId="38" numFmtId="0" xfId="0" applyAlignment="1" applyFont="1">
      <alignment vertical="top"/>
    </xf>
    <xf borderId="0" fillId="0" fontId="39" numFmtId="0" xfId="0" applyAlignment="1" applyFont="1">
      <alignment readingOrder="0" vertical="top"/>
    </xf>
    <xf borderId="5" fillId="0" fontId="39" numFmtId="0" xfId="0" applyAlignment="1" applyBorder="1" applyFont="1">
      <alignment horizontal="center"/>
    </xf>
    <xf borderId="6" fillId="0" fontId="39" numFmtId="0" xfId="0" applyAlignment="1" applyBorder="1" applyFont="1">
      <alignment horizontal="right" readingOrder="0"/>
    </xf>
    <xf borderId="2" fillId="0" fontId="39" numFmtId="0" xfId="0" applyAlignment="1" applyBorder="1" applyFont="1">
      <alignment horizontal="left" readingOrder="0" vertical="top"/>
    </xf>
    <xf borderId="0" fillId="0" fontId="38" numFmtId="49" xfId="0" applyAlignment="1" applyFont="1" applyNumberFormat="1">
      <alignment horizontal="right" vertical="top"/>
    </xf>
    <xf borderId="7" fillId="0" fontId="39" numFmtId="0" xfId="0" applyAlignment="1" applyBorder="1" applyFont="1">
      <alignment horizontal="right" readingOrder="0" vertical="top"/>
    </xf>
    <xf borderId="5" fillId="5" fontId="40" numFmtId="0" xfId="0" applyAlignment="1" applyBorder="1" applyFont="1">
      <alignment readingOrder="0"/>
    </xf>
    <xf borderId="6" fillId="0" fontId="39" numFmtId="0" xfId="0" applyAlignment="1" applyBorder="1" applyFont="1">
      <alignment horizontal="left" vertical="bottom"/>
    </xf>
    <xf borderId="4" fillId="0" fontId="39" numFmtId="0" xfId="0" applyAlignment="1" applyBorder="1" applyFont="1">
      <alignment vertical="bottom"/>
    </xf>
    <xf borderId="4" fillId="0" fontId="39" numFmtId="0" xfId="0" applyAlignment="1" applyBorder="1" applyFont="1">
      <alignment horizontal="center"/>
    </xf>
    <xf borderId="0" fillId="0" fontId="38" numFmtId="0" xfId="0" applyFont="1"/>
    <xf borderId="0" fillId="0" fontId="38" numFmtId="0" xfId="0" applyAlignment="1" applyFont="1">
      <alignment readingOrder="0"/>
    </xf>
    <xf borderId="0" fillId="0" fontId="37" numFmtId="0" xfId="0" applyAlignment="1" applyFont="1">
      <alignment horizontal="center" vertical="center"/>
    </xf>
    <xf borderId="0" fillId="0" fontId="36" numFmtId="0" xfId="0" applyAlignment="1" applyFont="1">
      <alignment vertical="bottom"/>
    </xf>
    <xf borderId="0" fillId="0" fontId="36" numFmtId="0" xfId="0" applyAlignment="1" applyFont="1">
      <alignment vertical="top"/>
    </xf>
    <xf borderId="0" fillId="0" fontId="35" numFmtId="0" xfId="0" applyAlignment="1" applyFont="1">
      <alignment horizontal="center" vertical="top"/>
    </xf>
    <xf borderId="0" fillId="0" fontId="31" numFmtId="0" xfId="0" applyAlignment="1" applyFont="1">
      <alignment shrinkToFit="0" wrapText="1"/>
    </xf>
    <xf borderId="40" fillId="0" fontId="6" numFmtId="0" xfId="0" applyAlignment="1" applyBorder="1" applyFont="1">
      <alignment horizontal="center" readingOrder="0" shrinkToFit="1" vertical="center" wrapText="0"/>
    </xf>
    <xf borderId="41" fillId="0" fontId="8" numFmtId="0" xfId="0" applyBorder="1" applyFont="1"/>
    <xf borderId="42" fillId="0" fontId="8" numFmtId="0" xfId="0" applyBorder="1" applyFont="1"/>
    <xf borderId="43" fillId="0" fontId="8" numFmtId="0" xfId="0" applyBorder="1" applyFont="1"/>
    <xf borderId="44" fillId="0" fontId="8" numFmtId="0" xfId="0" applyBorder="1" applyFont="1"/>
    <xf borderId="45" fillId="0" fontId="8" numFmtId="0" xfId="0" applyBorder="1" applyFont="1"/>
    <xf borderId="0" fillId="0" fontId="41" numFmtId="0" xfId="0" applyAlignment="1" applyFont="1">
      <alignment horizontal="right" vertical="bottom"/>
    </xf>
    <xf borderId="0" fillId="0" fontId="41" numFmtId="0" xfId="0" applyAlignment="1" applyFont="1">
      <alignment horizontal="right"/>
    </xf>
    <xf borderId="5" fillId="0" fontId="39" numFmtId="0" xfId="0" applyAlignment="1" applyBorder="1" applyFont="1">
      <alignment readingOrder="0" vertical="bottom"/>
    </xf>
    <xf borderId="5" fillId="0" fontId="39" numFmtId="0" xfId="0" applyAlignment="1" applyBorder="1" applyFont="1">
      <alignment horizontal="right" readingOrder="0" vertical="bottom"/>
    </xf>
    <xf borderId="2" fillId="0" fontId="39" numFmtId="0" xfId="0" applyAlignment="1" applyBorder="1" applyFont="1">
      <alignment vertical="bottom"/>
    </xf>
    <xf borderId="2" fillId="0" fontId="39" numFmtId="0" xfId="0" applyAlignment="1" applyBorder="1" applyFont="1">
      <alignment horizontal="right"/>
    </xf>
    <xf borderId="0" fillId="0" fontId="38" numFmtId="49" xfId="0" applyAlignment="1" applyFont="1" applyNumberFormat="1">
      <alignment horizontal="left" readingOrder="0" vertical="bottom"/>
    </xf>
    <xf borderId="2" fillId="0" fontId="39" numFmtId="0" xfId="0" applyAlignment="1" applyBorder="1" applyFont="1">
      <alignment readingOrder="0" vertical="top"/>
    </xf>
    <xf borderId="8" fillId="0" fontId="39" numFmtId="0" xfId="0" applyAlignment="1" applyBorder="1" applyFont="1">
      <alignment horizontal="center"/>
    </xf>
    <xf borderId="5" fillId="0" fontId="39" numFmtId="0" xfId="0" applyAlignment="1" applyBorder="1" applyFont="1">
      <alignment horizontal="center" readingOrder="0"/>
    </xf>
    <xf borderId="0" fillId="0" fontId="31" numFmtId="0" xfId="0" applyAlignment="1" applyFont="1">
      <alignment horizontal="center" readingOrder="0" vertical="center"/>
    </xf>
    <xf borderId="0" fillId="0" fontId="39" numFmtId="0" xfId="0" applyAlignment="1" applyFont="1">
      <alignment horizontal="center" readingOrder="0" vertical="top"/>
    </xf>
    <xf borderId="4" fillId="0" fontId="38" numFmtId="0" xfId="0" applyAlignment="1" applyBorder="1" applyFont="1">
      <alignment horizontal="center"/>
    </xf>
    <xf borderId="5" fillId="0" fontId="39" numFmtId="0" xfId="0" applyAlignment="1" applyBorder="1" applyFont="1">
      <alignment horizontal="right" readingOrder="0"/>
    </xf>
    <xf borderId="0" fillId="0" fontId="39" numFmtId="0" xfId="0" applyAlignment="1" applyFont="1">
      <alignment vertical="bottom"/>
    </xf>
    <xf borderId="0" fillId="0" fontId="39" numFmtId="0" xfId="0" applyAlignment="1" applyFont="1">
      <alignment horizontal="right" readingOrder="0"/>
    </xf>
    <xf borderId="0" fillId="0" fontId="38" numFmtId="49" xfId="0" applyAlignment="1" applyFont="1" applyNumberFormat="1">
      <alignment horizontal="right" readingOrder="0" vertical="top"/>
    </xf>
    <xf borderId="2" fillId="0" fontId="39" numFmtId="0" xfId="0" applyAlignment="1" applyBorder="1" applyFont="1">
      <alignment horizontal="right" readingOrder="0" vertical="top"/>
    </xf>
    <xf borderId="6" fillId="0" fontId="36" numFmtId="0" xfId="0" applyAlignment="1" applyBorder="1" applyFont="1">
      <alignment vertical="bottom"/>
    </xf>
    <xf borderId="0" fillId="0" fontId="39" numFmtId="0" xfId="0" applyAlignment="1" applyFont="1">
      <alignment horizontal="right" vertical="bottom"/>
    </xf>
    <xf borderId="0" fillId="0" fontId="36" numFmtId="0" xfId="0" applyFont="1"/>
    <xf borderId="0" fillId="0" fontId="31" numFmtId="0" xfId="0" applyAlignment="1" applyFont="1">
      <alignment horizontal="right"/>
    </xf>
    <xf borderId="0" fillId="0" fontId="31" numFmtId="0" xfId="0" applyFont="1"/>
    <xf borderId="0" fillId="0" fontId="39" numFmtId="0" xfId="0" applyAlignment="1" applyFont="1">
      <alignment horizontal="right" readingOrder="0" vertical="bottom"/>
    </xf>
    <xf borderId="3" fillId="0" fontId="39" numFmtId="0" xfId="0" applyAlignment="1" applyBorder="1" applyFont="1">
      <alignment vertical="bottom"/>
    </xf>
    <xf borderId="0" fillId="0" fontId="39" numFmtId="0" xfId="0" applyAlignment="1" applyFont="1">
      <alignment horizontal="center" readingOrder="0" vertical="center"/>
    </xf>
    <xf borderId="0" fillId="0" fontId="39" numFmtId="0" xfId="0" applyAlignment="1" applyFont="1">
      <alignment horizontal="right" readingOrder="0" vertical="top"/>
    </xf>
    <xf borderId="5" fillId="0" fontId="39" numFmtId="0" xfId="0" applyAlignment="1" applyBorder="1" applyFont="1">
      <alignment readingOrder="0" vertical="top"/>
    </xf>
    <xf borderId="0" fillId="0" fontId="31" numFmtId="0" xfId="0" applyAlignment="1" applyFont="1">
      <alignment horizontal="center" shrinkToFit="0" wrapText="1"/>
    </xf>
    <xf borderId="4" fillId="0" fontId="39" numFmtId="0" xfId="0" applyAlignment="1" applyBorder="1" applyFont="1">
      <alignment horizontal="right"/>
    </xf>
    <xf borderId="5" fillId="0" fontId="39" numFmtId="0" xfId="0" applyAlignment="1" applyBorder="1" applyFont="1">
      <alignment horizontal="right"/>
    </xf>
    <xf borderId="5" fillId="0" fontId="38" numFmtId="0" xfId="0" applyAlignment="1" applyBorder="1" applyFont="1">
      <alignment horizontal="right"/>
    </xf>
    <xf borderId="0" fillId="0" fontId="38" numFmtId="0" xfId="0" applyAlignment="1" applyFont="1">
      <alignment horizontal="right"/>
    </xf>
    <xf borderId="37" fillId="0" fontId="6" numFmtId="0" xfId="0" applyAlignment="1" applyBorder="1" applyFont="1">
      <alignment horizontal="center" readingOrder="0" shrinkToFit="1" vertical="center" wrapText="0"/>
    </xf>
    <xf borderId="0" fillId="0" fontId="33" numFmtId="0" xfId="0" applyAlignment="1" applyFont="1">
      <alignment horizontal="right" vertical="bottom"/>
    </xf>
    <xf borderId="0" fillId="0" fontId="33" numFmtId="0" xfId="0" applyAlignment="1" applyFont="1">
      <alignment horizontal="right"/>
    </xf>
    <xf borderId="0" fillId="0" fontId="36" numFmtId="0" xfId="0" applyAlignment="1" applyFont="1">
      <alignment horizontal="right"/>
    </xf>
    <xf borderId="2" fillId="0" fontId="39" numFmtId="0" xfId="0" applyAlignment="1" applyBorder="1" applyFont="1">
      <alignment horizontal="right" vertical="bottom"/>
    </xf>
    <xf borderId="5" fillId="0" fontId="39" numFmtId="0" xfId="0" applyAlignment="1" applyBorder="1" applyFont="1">
      <alignment vertical="bottom"/>
    </xf>
    <xf borderId="0" fillId="0" fontId="38" numFmtId="0" xfId="0" applyAlignment="1" applyFont="1">
      <alignment horizontal="left" vertical="bottom"/>
    </xf>
    <xf borderId="4" fillId="0" fontId="39" numFmtId="0" xfId="0" applyBorder="1" applyFont="1"/>
    <xf borderId="0" fillId="0" fontId="31" numFmtId="0" xfId="0" applyAlignment="1" applyFont="1">
      <alignment horizontal="center" shrinkToFit="0" vertical="top" wrapText="1"/>
    </xf>
    <xf borderId="0" fillId="0" fontId="42" numFmtId="0" xfId="0" applyAlignment="1" applyFont="1">
      <alignment horizontal="center" shrinkToFit="1" vertical="center" wrapText="0"/>
    </xf>
    <xf borderId="0" fillId="0" fontId="43" numFmtId="0" xfId="0" applyAlignment="1" applyFont="1">
      <alignment horizontal="center" shrinkToFit="1" vertical="center" wrapText="0"/>
    </xf>
    <xf borderId="30" fillId="0" fontId="44" numFmtId="0" xfId="0" applyAlignment="1" applyBorder="1" applyFont="1">
      <alignment horizontal="center" shrinkToFit="1" vertical="center" wrapText="0"/>
    </xf>
    <xf borderId="30" fillId="0" fontId="44" numFmtId="49" xfId="0" applyAlignment="1" applyBorder="1" applyFont="1" applyNumberFormat="1">
      <alignment horizontal="right" readingOrder="0" shrinkToFit="1" vertical="center" wrapText="0"/>
    </xf>
    <xf borderId="46" fillId="0" fontId="45" numFmtId="0" xfId="0" applyAlignment="1" applyBorder="1" applyFont="1">
      <alignment horizontal="center" shrinkToFit="1" vertical="center" wrapText="0"/>
    </xf>
    <xf borderId="47" fillId="0" fontId="8" numFmtId="0" xfId="0" applyBorder="1" applyFont="1"/>
    <xf borderId="48" fillId="0" fontId="8" numFmtId="0" xfId="0" applyBorder="1" applyFont="1"/>
    <xf borderId="49" fillId="0" fontId="46" numFmtId="0" xfId="0" applyAlignment="1" applyBorder="1" applyFont="1">
      <alignment horizontal="center" readingOrder="0" shrinkToFit="1" vertical="center" wrapText="0"/>
    </xf>
    <xf borderId="49" fillId="0" fontId="45" numFmtId="0" xfId="0" applyAlignment="1" applyBorder="1" applyFont="1">
      <alignment horizontal="center" shrinkToFit="1" vertical="center" wrapText="0"/>
    </xf>
    <xf borderId="50" fillId="0" fontId="8" numFmtId="0" xfId="0" applyBorder="1" applyFont="1"/>
    <xf borderId="27" fillId="0" fontId="45" numFmtId="0" xfId="0" applyAlignment="1" applyBorder="1" applyFont="1">
      <alignment horizontal="center" shrinkToFit="1" vertical="center" wrapText="0"/>
    </xf>
    <xf borderId="1" fillId="0" fontId="47" numFmtId="49" xfId="0" applyAlignment="1" applyBorder="1" applyFont="1" applyNumberFormat="1">
      <alignment horizontal="center" readingOrder="0" shrinkToFit="1" vertical="center" wrapText="0"/>
    </xf>
    <xf borderId="1" fillId="0" fontId="45" numFmtId="0" xfId="0" applyAlignment="1" applyBorder="1" applyFont="1">
      <alignment horizontal="center" shrinkToFit="1" vertical="center" wrapText="0"/>
    </xf>
    <xf borderId="1" fillId="0" fontId="43" numFmtId="0" xfId="0" applyAlignment="1" applyBorder="1" applyFont="1">
      <alignment horizontal="center" readingOrder="0" shrinkToFit="1" vertical="center" wrapText="0"/>
    </xf>
    <xf borderId="1" fillId="0" fontId="48" numFmtId="20" xfId="0" applyAlignment="1" applyBorder="1" applyFont="1" applyNumberFormat="1">
      <alignment horizontal="center" readingOrder="0" shrinkToFit="1" vertical="center" wrapText="0"/>
    </xf>
    <xf borderId="51" fillId="0" fontId="8" numFmtId="0" xfId="0" applyBorder="1" applyFont="1"/>
    <xf borderId="0" fillId="0" fontId="44" numFmtId="0" xfId="0" applyAlignment="1" applyFont="1">
      <alignment horizontal="center" shrinkToFit="1" vertical="center" wrapText="0"/>
    </xf>
    <xf borderId="0" fillId="0" fontId="43" numFmtId="0" xfId="0" applyAlignment="1" applyFont="1">
      <alignment horizontal="left" shrinkToFit="1" vertical="center" wrapText="0"/>
    </xf>
    <xf borderId="46" fillId="0" fontId="44" numFmtId="0" xfId="0" applyAlignment="1" applyBorder="1" applyFont="1">
      <alignment horizontal="center" shrinkToFit="1" vertical="center" wrapText="0"/>
    </xf>
    <xf borderId="49" fillId="0" fontId="49" numFmtId="0" xfId="0" applyAlignment="1" applyBorder="1" applyFont="1">
      <alignment horizontal="right" shrinkToFit="1" vertical="center" wrapText="0"/>
    </xf>
    <xf borderId="47" fillId="0" fontId="50" numFmtId="0" xfId="0" applyAlignment="1" applyBorder="1" applyFont="1">
      <alignment horizontal="center" readingOrder="0" vertical="center"/>
    </xf>
    <xf borderId="27" fillId="0" fontId="44" numFmtId="0" xfId="0" applyAlignment="1" applyBorder="1" applyFont="1">
      <alignment horizontal="center" shrinkToFit="0" vertical="center" wrapText="1"/>
    </xf>
    <xf borderId="1" fillId="0" fontId="51" numFmtId="0" xfId="0" applyAlignment="1" applyBorder="1" applyFont="1">
      <alignment horizontal="center" shrinkToFit="1" vertical="bottom" wrapText="0"/>
    </xf>
    <xf borderId="2" fillId="0" fontId="52" numFmtId="0" xfId="0" applyAlignment="1" applyBorder="1" applyFont="1">
      <alignment horizontal="center" shrinkToFit="1" vertical="bottom" wrapText="0"/>
    </xf>
    <xf borderId="2" fillId="0" fontId="53" numFmtId="0" xfId="0" applyAlignment="1" applyBorder="1" applyFont="1">
      <alignment horizontal="center" shrinkToFit="0" vertical="bottom" wrapText="1"/>
    </xf>
    <xf borderId="3" fillId="0" fontId="52" numFmtId="0" xfId="0" applyAlignment="1" applyBorder="1" applyFont="1">
      <alignment horizontal="center" shrinkToFit="1" vertical="bottom" wrapText="0"/>
    </xf>
    <xf borderId="51" fillId="0" fontId="52" numFmtId="0" xfId="0" applyAlignment="1" applyBorder="1" applyFont="1">
      <alignment horizontal="center" shrinkToFit="1" vertical="bottom" wrapText="0"/>
    </xf>
    <xf borderId="8" fillId="0" fontId="51" numFmtId="0" xfId="0" applyAlignment="1" applyBorder="1" applyFont="1">
      <alignment horizontal="center" shrinkToFit="1" vertical="top" wrapText="0"/>
    </xf>
    <xf borderId="0" fillId="0" fontId="52" numFmtId="0" xfId="0" applyAlignment="1" applyFont="1">
      <alignment horizontal="center" shrinkToFit="1" vertical="top" wrapText="0"/>
    </xf>
    <xf borderId="0" fillId="0" fontId="53" numFmtId="0" xfId="0" applyAlignment="1" applyFont="1">
      <alignment horizontal="center" shrinkToFit="0" vertical="top" wrapText="1"/>
    </xf>
    <xf borderId="7" fillId="0" fontId="52" numFmtId="0" xfId="0" applyAlignment="1" applyBorder="1" applyFont="1">
      <alignment horizontal="center" shrinkToFit="1" vertical="top" wrapText="0"/>
    </xf>
    <xf borderId="18" fillId="0" fontId="52" numFmtId="0" xfId="0" applyAlignment="1" applyBorder="1" applyFont="1">
      <alignment horizontal="center" shrinkToFit="1" vertical="top" wrapText="0"/>
    </xf>
    <xf borderId="27" fillId="0" fontId="44" numFmtId="0" xfId="0" applyAlignment="1" applyBorder="1" applyFont="1">
      <alignment horizontal="center" shrinkToFit="1" vertical="center" wrapText="0"/>
    </xf>
    <xf borderId="1" fillId="0" fontId="43" numFmtId="0" xfId="0" applyAlignment="1" applyBorder="1" applyFont="1">
      <alignment horizontal="center" shrinkToFit="1" vertical="center" wrapText="0"/>
    </xf>
    <xf borderId="2" fillId="0" fontId="46" numFmtId="0" xfId="0" applyAlignment="1" applyBorder="1" applyFont="1">
      <alignment horizontal="center" shrinkToFit="1" vertical="center" wrapText="0"/>
    </xf>
    <xf borderId="2" fillId="0" fontId="43" numFmtId="0" xfId="0" applyAlignment="1" applyBorder="1" applyFont="1">
      <alignment horizontal="center" shrinkToFit="1" vertical="center" wrapText="0"/>
    </xf>
    <xf borderId="17" fillId="0" fontId="44" numFmtId="0" xfId="0" applyAlignment="1" applyBorder="1" applyFont="1">
      <alignment horizontal="center" shrinkToFit="1" vertical="center" wrapText="0"/>
    </xf>
    <xf borderId="8" fillId="0" fontId="43" numFmtId="0" xfId="0" applyAlignment="1" applyBorder="1" applyFont="1">
      <alignment horizontal="center" shrinkToFit="1" vertical="center" wrapText="0"/>
    </xf>
    <xf borderId="0" fillId="0" fontId="46" numFmtId="0" xfId="0" applyAlignment="1" applyFont="1">
      <alignment horizontal="center" shrinkToFit="1" vertical="center" wrapText="0"/>
    </xf>
    <xf borderId="18" fillId="0" fontId="43" numFmtId="0" xfId="0" applyAlignment="1" applyBorder="1" applyFont="1">
      <alignment horizontal="center" shrinkToFit="1" vertical="center" wrapText="0"/>
    </xf>
    <xf borderId="33" fillId="0" fontId="43" numFmtId="0" xfId="0" applyAlignment="1" applyBorder="1" applyFont="1">
      <alignment shrinkToFit="1" vertical="center" wrapText="0"/>
    </xf>
    <xf borderId="30" fillId="0" fontId="43" numFmtId="0" xfId="0" applyAlignment="1" applyBorder="1" applyFont="1">
      <alignment shrinkToFit="1" vertical="center" wrapText="0"/>
    </xf>
    <xf borderId="30" fillId="0" fontId="43" numFmtId="0" xfId="0" applyAlignment="1" applyBorder="1" applyFont="1">
      <alignment horizontal="center" shrinkToFit="1" vertical="center" wrapText="0"/>
    </xf>
    <xf borderId="31" fillId="0" fontId="43" numFmtId="0" xfId="0" applyAlignment="1" applyBorder="1" applyFont="1">
      <alignment shrinkToFit="1" vertical="center" wrapText="0"/>
    </xf>
    <xf borderId="0" fillId="0" fontId="43" numFmtId="0" xfId="0" applyAlignment="1" applyFont="1">
      <alignment shrinkToFit="1" vertical="center" wrapText="0"/>
    </xf>
    <xf borderId="47" fillId="0" fontId="43" numFmtId="0" xfId="0" applyAlignment="1" applyBorder="1" applyFont="1">
      <alignment horizontal="right" readingOrder="0" shrinkToFit="1" vertical="center" wrapText="0"/>
    </xf>
    <xf borderId="49" fillId="0" fontId="48" numFmtId="0" xfId="0" applyAlignment="1" applyBorder="1" applyFont="1">
      <alignment horizontal="center" readingOrder="0" shrinkToFit="1" vertical="center" wrapText="0"/>
    </xf>
    <xf borderId="47" fillId="0" fontId="43" numFmtId="0" xfId="0" applyAlignment="1" applyBorder="1" applyFont="1">
      <alignment horizontal="right" shrinkToFit="1" vertical="center" wrapText="0"/>
    </xf>
  </cellXfs>
  <cellStyles count="1">
    <cellStyle xfId="0" name="Normal" builtinId="0"/>
  </cellStyles>
  <dxfs count="3">
    <dxf>
      <font/>
      <fill>
        <patternFill patternType="solid">
          <fgColor rgb="FF999999"/>
          <bgColor rgb="FF999999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0</xdr:row>
      <xdr:rowOff>85725</xdr:rowOff>
    </xdr:from>
    <xdr:ext cx="790575" cy="676275"/>
    <xdr:pic>
      <xdr:nvPicPr>
        <xdr:cNvPr id="0" name="image1.jp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29"/>
    <col customWidth="1" min="2" max="6" width="2.71"/>
    <col customWidth="1" min="7" max="10" width="4.0"/>
    <col customWidth="1" min="11" max="14" width="2.71"/>
    <col customWidth="1" min="15" max="18" width="4.0"/>
    <col customWidth="1" min="19" max="22" width="2.43"/>
    <col customWidth="1" min="23" max="26" width="4.0"/>
    <col customWidth="1" min="27" max="30" width="2.71"/>
    <col customWidth="1" min="31" max="34" width="4.0"/>
    <col customWidth="1" min="35" max="38" width="2.43"/>
    <col customWidth="1" min="39" max="39" width="1.29"/>
  </cols>
  <sheetData>
    <row r="1" ht="63.0" customHeight="1">
      <c r="A1" s="1" t="s">
        <v>0</v>
      </c>
    </row>
    <row r="2" ht="18.0" customHeight="1">
      <c r="A2" s="2"/>
      <c r="B2" s="2"/>
      <c r="C2" s="2"/>
      <c r="D2" s="2"/>
      <c r="E2" s="2"/>
      <c r="F2" s="2"/>
      <c r="G2" s="2"/>
      <c r="H2" s="3"/>
      <c r="I2" s="3"/>
      <c r="J2" s="4" t="s">
        <v>1</v>
      </c>
      <c r="M2" s="4" t="s">
        <v>2</v>
      </c>
      <c r="O2" s="5" t="s">
        <v>3</v>
      </c>
      <c r="AM2" s="2"/>
    </row>
    <row r="3" ht="18.0" customHeight="1">
      <c r="A3" s="2"/>
      <c r="B3" s="2"/>
      <c r="C3" s="2"/>
      <c r="D3" s="2"/>
      <c r="E3" s="2"/>
      <c r="F3" s="2"/>
      <c r="G3" s="2"/>
      <c r="H3" s="3"/>
      <c r="I3" s="3"/>
      <c r="J3" s="4" t="s">
        <v>4</v>
      </c>
      <c r="M3" s="4" t="s">
        <v>2</v>
      </c>
      <c r="O3" s="5" t="s">
        <v>5</v>
      </c>
      <c r="AM3" s="2"/>
    </row>
    <row r="4" ht="10.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ht="18.0" customHeight="1">
      <c r="A5" s="6"/>
      <c r="B5" s="6"/>
      <c r="C5" s="6"/>
      <c r="D5" s="6"/>
      <c r="E5" s="7"/>
      <c r="F5" s="8" t="s">
        <v>6</v>
      </c>
      <c r="AK5" s="8"/>
      <c r="AL5" s="8"/>
      <c r="AM5" s="8"/>
    </row>
    <row r="6" ht="18.0" customHeight="1">
      <c r="A6" s="6"/>
      <c r="B6" s="6"/>
      <c r="C6" s="6"/>
      <c r="D6" s="6"/>
      <c r="E6" s="9"/>
      <c r="F6" s="8" t="s">
        <v>7</v>
      </c>
      <c r="N6" s="8" t="s">
        <v>8</v>
      </c>
      <c r="AK6" s="8"/>
      <c r="AL6" s="8"/>
      <c r="AM6" s="8"/>
    </row>
    <row r="7" ht="18.0" customHeight="1">
      <c r="A7" s="6"/>
      <c r="B7" s="6"/>
      <c r="C7" s="6"/>
      <c r="D7" s="6"/>
      <c r="E7" s="6"/>
      <c r="F7" s="8" t="s">
        <v>9</v>
      </c>
      <c r="P7" s="2" t="s">
        <v>10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8"/>
      <c r="AL7" s="8"/>
      <c r="AM7" s="8"/>
    </row>
    <row r="8" ht="18.0" customHeight="1">
      <c r="A8" s="6"/>
      <c r="B8" s="6"/>
      <c r="C8" s="6"/>
      <c r="D8" s="6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 t="s">
        <v>11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8"/>
      <c r="AL8" s="8"/>
      <c r="AM8" s="8"/>
    </row>
    <row r="9" ht="18.0" customHeight="1">
      <c r="A9" s="6"/>
      <c r="B9" s="6"/>
      <c r="C9" s="6"/>
      <c r="D9" s="6"/>
      <c r="E9" s="6"/>
      <c r="F9" s="8" t="s">
        <v>12</v>
      </c>
      <c r="AK9" s="8"/>
      <c r="AL9" s="8"/>
      <c r="AM9" s="8"/>
    </row>
    <row r="10" ht="18.0" customHeight="1">
      <c r="A10" s="6"/>
      <c r="B10" s="6"/>
      <c r="C10" s="6"/>
      <c r="D10" s="6"/>
      <c r="E10" s="6"/>
      <c r="F10" s="8" t="s">
        <v>13</v>
      </c>
    </row>
    <row r="11" ht="18.75" customHeight="1">
      <c r="A11" s="6"/>
      <c r="B11" s="6"/>
      <c r="C11" s="6"/>
      <c r="D11" s="6"/>
      <c r="E11" s="6"/>
      <c r="F11" s="8" t="s">
        <v>14</v>
      </c>
      <c r="AK11" s="2"/>
      <c r="AL11" s="2"/>
      <c r="AM11" s="2"/>
    </row>
    <row r="12" ht="18.0" customHeight="1">
      <c r="A12" s="6"/>
      <c r="B12" s="6"/>
      <c r="C12" s="6"/>
      <c r="D12" s="6"/>
      <c r="E12" s="9"/>
      <c r="F12" s="8" t="s">
        <v>15</v>
      </c>
      <c r="AK12" s="8"/>
      <c r="AL12" s="8"/>
      <c r="AM12" s="8"/>
    </row>
    <row r="13" ht="19.5" customHeight="1">
      <c r="A13" s="6"/>
      <c r="B13" s="10" t="s">
        <v>16</v>
      </c>
      <c r="AM13" s="11"/>
    </row>
    <row r="14" ht="39.0" customHeight="1">
      <c r="A14" s="12"/>
      <c r="B14" s="13" t="s">
        <v>17</v>
      </c>
      <c r="P14" s="14" t="s">
        <v>18</v>
      </c>
      <c r="AM14" s="12"/>
    </row>
    <row r="15" ht="24.75" customHeight="1">
      <c r="A15" s="6"/>
      <c r="B15" s="15" t="s">
        <v>19</v>
      </c>
      <c r="C15" s="16"/>
      <c r="D15" s="16"/>
      <c r="E15" s="16"/>
      <c r="F15" s="17"/>
      <c r="G15" s="18">
        <v>1.0</v>
      </c>
      <c r="H15" s="19" t="s">
        <v>20</v>
      </c>
      <c r="I15" s="16"/>
      <c r="J15" s="16"/>
      <c r="K15" s="20" t="s">
        <v>21</v>
      </c>
      <c r="L15" s="16"/>
      <c r="M15" s="16"/>
      <c r="N15" s="17"/>
      <c r="O15" s="21">
        <v>2.0</v>
      </c>
      <c r="P15" s="19" t="s">
        <v>22</v>
      </c>
      <c r="Q15" s="16"/>
      <c r="R15" s="16"/>
      <c r="S15" s="20" t="s">
        <v>23</v>
      </c>
      <c r="T15" s="16"/>
      <c r="U15" s="16"/>
      <c r="V15" s="17"/>
      <c r="W15" s="18">
        <v>3.0</v>
      </c>
      <c r="X15" s="19" t="s">
        <v>24</v>
      </c>
      <c r="Y15" s="16"/>
      <c r="Z15" s="16"/>
      <c r="AA15" s="20" t="s">
        <v>25</v>
      </c>
      <c r="AB15" s="16"/>
      <c r="AC15" s="16"/>
      <c r="AD15" s="17"/>
      <c r="AE15" s="21">
        <v>4.0</v>
      </c>
      <c r="AF15" s="19" t="s">
        <v>26</v>
      </c>
      <c r="AG15" s="16"/>
      <c r="AH15" s="16"/>
      <c r="AI15" s="20" t="s">
        <v>27</v>
      </c>
      <c r="AJ15" s="16"/>
      <c r="AK15" s="16"/>
      <c r="AL15" s="17"/>
      <c r="AM15" s="6"/>
    </row>
    <row r="16" ht="24.75" customHeight="1">
      <c r="A16" s="22"/>
      <c r="B16" s="23" t="s">
        <v>28</v>
      </c>
      <c r="C16" s="24"/>
      <c r="D16" s="24"/>
      <c r="E16" s="24"/>
      <c r="F16" s="25"/>
      <c r="G16" s="26"/>
      <c r="H16" s="27" t="s">
        <v>29</v>
      </c>
      <c r="I16" s="24"/>
      <c r="J16" s="24"/>
      <c r="K16" s="28" t="s">
        <v>30</v>
      </c>
      <c r="L16" s="24"/>
      <c r="M16" s="24"/>
      <c r="N16" s="25"/>
      <c r="O16" s="24"/>
      <c r="P16" s="27" t="s">
        <v>31</v>
      </c>
      <c r="Q16" s="24"/>
      <c r="R16" s="24"/>
      <c r="S16" s="28" t="s">
        <v>32</v>
      </c>
      <c r="T16" s="24"/>
      <c r="U16" s="24"/>
      <c r="V16" s="25"/>
      <c r="W16" s="26"/>
      <c r="X16" s="29" t="s">
        <v>33</v>
      </c>
      <c r="AA16" s="30" t="s">
        <v>34</v>
      </c>
      <c r="AD16" s="31"/>
      <c r="AE16" s="24"/>
      <c r="AF16" s="27" t="s">
        <v>35</v>
      </c>
      <c r="AG16" s="24"/>
      <c r="AH16" s="24"/>
      <c r="AI16" s="28" t="s">
        <v>36</v>
      </c>
      <c r="AJ16" s="24"/>
      <c r="AK16" s="24"/>
      <c r="AL16" s="25"/>
      <c r="AM16" s="22"/>
    </row>
    <row r="17" ht="24.75" customHeight="1">
      <c r="A17" s="2"/>
      <c r="B17" s="15" t="s">
        <v>37</v>
      </c>
      <c r="C17" s="16"/>
      <c r="D17" s="16"/>
      <c r="E17" s="16"/>
      <c r="F17" s="17"/>
      <c r="G17" s="18">
        <v>5.0</v>
      </c>
      <c r="H17" s="19" t="s">
        <v>38</v>
      </c>
      <c r="I17" s="16"/>
      <c r="J17" s="16"/>
      <c r="K17" s="20" t="s">
        <v>39</v>
      </c>
      <c r="L17" s="16"/>
      <c r="M17" s="16"/>
      <c r="N17" s="17"/>
      <c r="O17" s="21">
        <v>6.0</v>
      </c>
      <c r="P17" s="19" t="s">
        <v>40</v>
      </c>
      <c r="Q17" s="16"/>
      <c r="R17" s="16"/>
      <c r="S17" s="20" t="s">
        <v>25</v>
      </c>
      <c r="T17" s="16"/>
      <c r="U17" s="16"/>
      <c r="V17" s="17"/>
      <c r="W17" s="18">
        <v>7.0</v>
      </c>
      <c r="X17" s="19" t="s">
        <v>41</v>
      </c>
      <c r="Y17" s="16"/>
      <c r="Z17" s="16"/>
      <c r="AA17" s="20" t="s">
        <v>42</v>
      </c>
      <c r="AB17" s="16"/>
      <c r="AC17" s="16"/>
      <c r="AD17" s="17"/>
      <c r="AE17" s="21">
        <v>8.0</v>
      </c>
      <c r="AF17" s="19" t="s">
        <v>43</v>
      </c>
      <c r="AG17" s="16"/>
      <c r="AH17" s="16"/>
      <c r="AI17" s="20" t="s">
        <v>44</v>
      </c>
      <c r="AJ17" s="16"/>
      <c r="AK17" s="16"/>
      <c r="AL17" s="17"/>
      <c r="AM17" s="6"/>
    </row>
    <row r="18" ht="24.75" customHeight="1">
      <c r="A18" s="2"/>
      <c r="B18" s="23" t="s">
        <v>45</v>
      </c>
      <c r="C18" s="24"/>
      <c r="D18" s="24"/>
      <c r="E18" s="24"/>
      <c r="F18" s="25"/>
      <c r="G18" s="26"/>
      <c r="H18" s="27" t="s">
        <v>46</v>
      </c>
      <c r="I18" s="24"/>
      <c r="J18" s="24"/>
      <c r="K18" s="28" t="s">
        <v>47</v>
      </c>
      <c r="L18" s="24"/>
      <c r="M18" s="24"/>
      <c r="N18" s="25"/>
      <c r="O18" s="24"/>
      <c r="P18" s="27" t="s">
        <v>48</v>
      </c>
      <c r="Q18" s="24"/>
      <c r="R18" s="24"/>
      <c r="S18" s="28" t="s">
        <v>25</v>
      </c>
      <c r="T18" s="24"/>
      <c r="U18" s="24"/>
      <c r="V18" s="25"/>
      <c r="W18" s="26"/>
      <c r="X18" s="32" t="s">
        <v>49</v>
      </c>
      <c r="AA18" s="33" t="s">
        <v>50</v>
      </c>
      <c r="AD18" s="31"/>
      <c r="AE18" s="24"/>
      <c r="AF18" s="27" t="s">
        <v>51</v>
      </c>
      <c r="AG18" s="24"/>
      <c r="AH18" s="24"/>
      <c r="AI18" s="28" t="s">
        <v>30</v>
      </c>
      <c r="AJ18" s="24"/>
      <c r="AK18" s="24"/>
      <c r="AL18" s="25"/>
      <c r="AM18" s="6"/>
    </row>
    <row r="19" ht="24.75" customHeight="1">
      <c r="A19" s="2"/>
      <c r="B19" s="15" t="s">
        <v>52</v>
      </c>
      <c r="C19" s="16"/>
      <c r="D19" s="16"/>
      <c r="E19" s="16"/>
      <c r="F19" s="17"/>
      <c r="G19" s="18">
        <v>9.0</v>
      </c>
      <c r="H19" s="19" t="s">
        <v>53</v>
      </c>
      <c r="I19" s="16"/>
      <c r="J19" s="16"/>
      <c r="K19" s="20" t="s">
        <v>54</v>
      </c>
      <c r="L19" s="16"/>
      <c r="M19" s="16"/>
      <c r="N19" s="17"/>
      <c r="O19" s="21">
        <v>10.0</v>
      </c>
      <c r="P19" s="19" t="s">
        <v>55</v>
      </c>
      <c r="Q19" s="16"/>
      <c r="R19" s="16"/>
      <c r="S19" s="20" t="s">
        <v>30</v>
      </c>
      <c r="T19" s="16"/>
      <c r="U19" s="16"/>
      <c r="V19" s="17"/>
      <c r="W19" s="18">
        <v>11.0</v>
      </c>
      <c r="X19" s="19" t="s">
        <v>56</v>
      </c>
      <c r="Y19" s="16"/>
      <c r="Z19" s="16"/>
      <c r="AA19" s="20" t="s">
        <v>57</v>
      </c>
      <c r="AB19" s="16"/>
      <c r="AC19" s="16"/>
      <c r="AD19" s="17"/>
      <c r="AE19" s="21">
        <v>12.0</v>
      </c>
      <c r="AF19" s="19" t="s">
        <v>58</v>
      </c>
      <c r="AG19" s="16"/>
      <c r="AH19" s="16"/>
      <c r="AI19" s="20" t="s">
        <v>59</v>
      </c>
      <c r="AJ19" s="16"/>
      <c r="AK19" s="16"/>
      <c r="AL19" s="17"/>
      <c r="AM19" s="6"/>
    </row>
    <row r="20" ht="24.75" customHeight="1">
      <c r="A20" s="2"/>
      <c r="B20" s="23" t="s">
        <v>60</v>
      </c>
      <c r="C20" s="24"/>
      <c r="D20" s="24"/>
      <c r="E20" s="24"/>
      <c r="F20" s="25"/>
      <c r="G20" s="26"/>
      <c r="H20" s="27" t="s">
        <v>61</v>
      </c>
      <c r="I20" s="24"/>
      <c r="J20" s="24"/>
      <c r="K20" s="28" t="s">
        <v>30</v>
      </c>
      <c r="L20" s="24"/>
      <c r="M20" s="24"/>
      <c r="N20" s="25"/>
      <c r="O20" s="24"/>
      <c r="P20" s="27" t="s">
        <v>62</v>
      </c>
      <c r="Q20" s="24"/>
      <c r="R20" s="24"/>
      <c r="S20" s="28" t="s">
        <v>30</v>
      </c>
      <c r="T20" s="24"/>
      <c r="U20" s="24"/>
      <c r="V20" s="25"/>
      <c r="W20" s="26"/>
      <c r="X20" s="32" t="s">
        <v>63</v>
      </c>
      <c r="AA20" s="33" t="s">
        <v>64</v>
      </c>
      <c r="AD20" s="31"/>
      <c r="AE20" s="24"/>
      <c r="AF20" s="27" t="s">
        <v>65</v>
      </c>
      <c r="AG20" s="24"/>
      <c r="AH20" s="24"/>
      <c r="AI20" s="28" t="s">
        <v>30</v>
      </c>
      <c r="AJ20" s="24"/>
      <c r="AK20" s="24"/>
      <c r="AL20" s="25"/>
      <c r="AM20" s="6"/>
    </row>
    <row r="21" ht="24.75" customHeight="1">
      <c r="A21" s="2"/>
      <c r="B21" s="15" t="s">
        <v>66</v>
      </c>
      <c r="C21" s="16"/>
      <c r="D21" s="16"/>
      <c r="E21" s="16"/>
      <c r="F21" s="17"/>
      <c r="G21" s="18">
        <v>13.0</v>
      </c>
      <c r="H21" s="19" t="s">
        <v>67</v>
      </c>
      <c r="I21" s="16"/>
      <c r="J21" s="16"/>
      <c r="K21" s="20" t="s">
        <v>68</v>
      </c>
      <c r="L21" s="16"/>
      <c r="M21" s="16"/>
      <c r="N21" s="17"/>
      <c r="O21" s="21">
        <v>14.0</v>
      </c>
      <c r="P21" s="19" t="s">
        <v>69</v>
      </c>
      <c r="Q21" s="16"/>
      <c r="R21" s="16"/>
      <c r="S21" s="20" t="s">
        <v>70</v>
      </c>
      <c r="T21" s="16"/>
      <c r="U21" s="16"/>
      <c r="V21" s="17"/>
      <c r="W21" s="18">
        <v>15.0</v>
      </c>
      <c r="X21" s="19" t="s">
        <v>71</v>
      </c>
      <c r="Y21" s="16"/>
      <c r="Z21" s="16"/>
      <c r="AA21" s="20" t="s">
        <v>30</v>
      </c>
      <c r="AB21" s="16"/>
      <c r="AC21" s="16"/>
      <c r="AD21" s="17"/>
      <c r="AE21" s="21">
        <v>16.0</v>
      </c>
      <c r="AF21" s="19" t="s">
        <v>72</v>
      </c>
      <c r="AG21" s="16"/>
      <c r="AH21" s="16"/>
      <c r="AI21" s="20" t="s">
        <v>23</v>
      </c>
      <c r="AJ21" s="16"/>
      <c r="AK21" s="16"/>
      <c r="AL21" s="17"/>
      <c r="AM21" s="6"/>
    </row>
    <row r="22" ht="24.75" customHeight="1">
      <c r="A22" s="2"/>
      <c r="B22" s="23" t="s">
        <v>73</v>
      </c>
      <c r="C22" s="24"/>
      <c r="D22" s="24"/>
      <c r="E22" s="24"/>
      <c r="F22" s="25"/>
      <c r="G22" s="26"/>
      <c r="H22" s="27" t="s">
        <v>74</v>
      </c>
      <c r="I22" s="24"/>
      <c r="J22" s="24"/>
      <c r="K22" s="28" t="s">
        <v>68</v>
      </c>
      <c r="L22" s="24"/>
      <c r="M22" s="24"/>
      <c r="N22" s="25"/>
      <c r="O22" s="24"/>
      <c r="P22" s="27" t="s">
        <v>75</v>
      </c>
      <c r="Q22" s="24"/>
      <c r="R22" s="24"/>
      <c r="S22" s="28" t="s">
        <v>50</v>
      </c>
      <c r="T22" s="24"/>
      <c r="U22" s="24"/>
      <c r="V22" s="25"/>
      <c r="W22" s="26"/>
      <c r="X22" s="32" t="s">
        <v>76</v>
      </c>
      <c r="AA22" s="33" t="s">
        <v>30</v>
      </c>
      <c r="AD22" s="31"/>
      <c r="AE22" s="24"/>
      <c r="AF22" s="27" t="s">
        <v>77</v>
      </c>
      <c r="AG22" s="24"/>
      <c r="AH22" s="24"/>
      <c r="AI22" s="28" t="s">
        <v>78</v>
      </c>
      <c r="AJ22" s="24"/>
      <c r="AK22" s="24"/>
      <c r="AL22" s="25"/>
      <c r="AM22" s="6"/>
    </row>
    <row r="23" ht="24.75" customHeight="1">
      <c r="A23" s="2"/>
      <c r="B23" s="15" t="s">
        <v>79</v>
      </c>
      <c r="C23" s="16"/>
      <c r="D23" s="16"/>
      <c r="E23" s="16"/>
      <c r="F23" s="17"/>
      <c r="G23" s="18">
        <v>17.0</v>
      </c>
      <c r="H23" s="34" t="s">
        <v>80</v>
      </c>
      <c r="I23" s="16"/>
      <c r="J23" s="16"/>
      <c r="K23" s="20" t="s">
        <v>25</v>
      </c>
      <c r="L23" s="16"/>
      <c r="M23" s="16"/>
      <c r="N23" s="17"/>
      <c r="O23" s="21">
        <v>18.0</v>
      </c>
      <c r="P23" s="19" t="s">
        <v>81</v>
      </c>
      <c r="Q23" s="16"/>
      <c r="R23" s="16"/>
      <c r="S23" s="20" t="s">
        <v>82</v>
      </c>
      <c r="T23" s="16"/>
      <c r="U23" s="16"/>
      <c r="V23" s="17"/>
      <c r="W23" s="18">
        <v>19.0</v>
      </c>
      <c r="X23" s="19" t="s">
        <v>83</v>
      </c>
      <c r="Y23" s="16"/>
      <c r="Z23" s="16"/>
      <c r="AA23" s="20" t="s">
        <v>30</v>
      </c>
      <c r="AB23" s="16"/>
      <c r="AC23" s="16"/>
      <c r="AD23" s="17"/>
      <c r="AE23" s="21">
        <v>20.0</v>
      </c>
      <c r="AF23" s="19" t="s">
        <v>84</v>
      </c>
      <c r="AG23" s="16"/>
      <c r="AH23" s="16"/>
      <c r="AI23" s="20" t="s">
        <v>54</v>
      </c>
      <c r="AJ23" s="16"/>
      <c r="AK23" s="16"/>
      <c r="AL23" s="17"/>
      <c r="AM23" s="6"/>
    </row>
    <row r="24" ht="24.75" customHeight="1">
      <c r="A24" s="2"/>
      <c r="B24" s="23" t="s">
        <v>85</v>
      </c>
      <c r="C24" s="24"/>
      <c r="D24" s="24"/>
      <c r="E24" s="24"/>
      <c r="F24" s="25"/>
      <c r="G24" s="26"/>
      <c r="H24" s="27" t="s">
        <v>86</v>
      </c>
      <c r="I24" s="24"/>
      <c r="J24" s="24"/>
      <c r="K24" s="28" t="s">
        <v>87</v>
      </c>
      <c r="L24" s="24"/>
      <c r="M24" s="24"/>
      <c r="N24" s="25"/>
      <c r="O24" s="24"/>
      <c r="P24" s="27" t="s">
        <v>88</v>
      </c>
      <c r="Q24" s="24"/>
      <c r="R24" s="24"/>
      <c r="S24" s="28" t="s">
        <v>27</v>
      </c>
      <c r="T24" s="24"/>
      <c r="U24" s="24"/>
      <c r="V24" s="25"/>
      <c r="W24" s="26"/>
      <c r="X24" s="32" t="s">
        <v>89</v>
      </c>
      <c r="AA24" s="33" t="s">
        <v>30</v>
      </c>
      <c r="AD24" s="31"/>
      <c r="AE24" s="24"/>
      <c r="AF24" s="27" t="s">
        <v>90</v>
      </c>
      <c r="AG24" s="24"/>
      <c r="AH24" s="24"/>
      <c r="AI24" s="28" t="s">
        <v>54</v>
      </c>
      <c r="AJ24" s="24"/>
      <c r="AK24" s="24"/>
      <c r="AL24" s="25"/>
      <c r="AM24" s="6"/>
    </row>
    <row r="25" ht="24.75" customHeight="1">
      <c r="A25" s="2"/>
      <c r="B25" s="15" t="s">
        <v>91</v>
      </c>
      <c r="C25" s="16"/>
      <c r="D25" s="16"/>
      <c r="E25" s="16"/>
      <c r="F25" s="17"/>
      <c r="G25" s="18">
        <v>21.0</v>
      </c>
      <c r="H25" s="19" t="s">
        <v>92</v>
      </c>
      <c r="I25" s="16"/>
      <c r="J25" s="16"/>
      <c r="K25" s="20" t="s">
        <v>93</v>
      </c>
      <c r="L25" s="16"/>
      <c r="M25" s="16"/>
      <c r="N25" s="17"/>
      <c r="O25" s="21">
        <v>22.0</v>
      </c>
      <c r="P25" s="19" t="s">
        <v>94</v>
      </c>
      <c r="Q25" s="16"/>
      <c r="R25" s="16"/>
      <c r="S25" s="20" t="s">
        <v>30</v>
      </c>
      <c r="T25" s="16"/>
      <c r="U25" s="16"/>
      <c r="V25" s="17"/>
      <c r="W25" s="18">
        <v>23.0</v>
      </c>
      <c r="X25" s="19" t="s">
        <v>95</v>
      </c>
      <c r="Y25" s="16"/>
      <c r="Z25" s="16"/>
      <c r="AA25" s="20" t="s">
        <v>64</v>
      </c>
      <c r="AB25" s="16"/>
      <c r="AC25" s="16"/>
      <c r="AD25" s="17"/>
      <c r="AE25" s="21">
        <v>24.0</v>
      </c>
      <c r="AF25" s="19" t="s">
        <v>96</v>
      </c>
      <c r="AG25" s="16"/>
      <c r="AH25" s="16"/>
      <c r="AI25" s="20" t="s">
        <v>23</v>
      </c>
      <c r="AJ25" s="16"/>
      <c r="AK25" s="16"/>
      <c r="AL25" s="17"/>
      <c r="AM25" s="6"/>
    </row>
    <row r="26" ht="24.75" customHeight="1">
      <c r="A26" s="2"/>
      <c r="B26" s="23" t="s">
        <v>97</v>
      </c>
      <c r="C26" s="24"/>
      <c r="D26" s="24"/>
      <c r="E26" s="24"/>
      <c r="F26" s="25"/>
      <c r="G26" s="26"/>
      <c r="H26" s="27" t="s">
        <v>98</v>
      </c>
      <c r="I26" s="24"/>
      <c r="J26" s="24"/>
      <c r="K26" s="28" t="s">
        <v>99</v>
      </c>
      <c r="L26" s="24"/>
      <c r="M26" s="24"/>
      <c r="N26" s="25"/>
      <c r="O26" s="24"/>
      <c r="P26" s="27" t="s">
        <v>100</v>
      </c>
      <c r="Q26" s="24"/>
      <c r="R26" s="24"/>
      <c r="S26" s="28" t="s">
        <v>30</v>
      </c>
      <c r="T26" s="24"/>
      <c r="U26" s="24"/>
      <c r="V26" s="25"/>
      <c r="W26" s="26"/>
      <c r="X26" s="32" t="s">
        <v>101</v>
      </c>
      <c r="AA26" s="33" t="s">
        <v>64</v>
      </c>
      <c r="AD26" s="31"/>
      <c r="AE26" s="24"/>
      <c r="AF26" s="27" t="s">
        <v>102</v>
      </c>
      <c r="AG26" s="24"/>
      <c r="AH26" s="24"/>
      <c r="AI26" s="28" t="s">
        <v>30</v>
      </c>
      <c r="AJ26" s="24"/>
      <c r="AK26" s="24"/>
      <c r="AL26" s="25"/>
      <c r="AM26" s="6"/>
    </row>
    <row r="27" ht="24.75" customHeight="1">
      <c r="A27" s="2"/>
      <c r="B27" s="15" t="s">
        <v>103</v>
      </c>
      <c r="C27" s="16"/>
      <c r="D27" s="16"/>
      <c r="E27" s="16"/>
      <c r="F27" s="17"/>
      <c r="G27" s="18">
        <v>25.0</v>
      </c>
      <c r="H27" s="19" t="s">
        <v>104</v>
      </c>
      <c r="I27" s="16"/>
      <c r="J27" s="16"/>
      <c r="K27" s="20" t="s">
        <v>30</v>
      </c>
      <c r="L27" s="16"/>
      <c r="M27" s="16"/>
      <c r="N27" s="17"/>
      <c r="O27" s="21">
        <v>26.0</v>
      </c>
      <c r="P27" s="19" t="s">
        <v>105</v>
      </c>
      <c r="Q27" s="16"/>
      <c r="R27" s="16"/>
      <c r="S27" s="20" t="s">
        <v>25</v>
      </c>
      <c r="T27" s="16"/>
      <c r="U27" s="16"/>
      <c r="V27" s="17"/>
      <c r="W27" s="18">
        <v>27.0</v>
      </c>
      <c r="X27" s="19" t="s">
        <v>106</v>
      </c>
      <c r="Y27" s="16"/>
      <c r="Z27" s="16"/>
      <c r="AA27" s="20" t="s">
        <v>36</v>
      </c>
      <c r="AB27" s="16"/>
      <c r="AC27" s="16"/>
      <c r="AD27" s="17"/>
      <c r="AE27" s="21">
        <v>28.0</v>
      </c>
      <c r="AF27" s="19" t="s">
        <v>107</v>
      </c>
      <c r="AG27" s="16"/>
      <c r="AH27" s="16"/>
      <c r="AI27" s="20" t="s">
        <v>108</v>
      </c>
      <c r="AJ27" s="16"/>
      <c r="AK27" s="16"/>
      <c r="AL27" s="17"/>
      <c r="AM27" s="6"/>
    </row>
    <row r="28" ht="24.75" customHeight="1">
      <c r="A28" s="2"/>
      <c r="B28" s="23" t="s">
        <v>109</v>
      </c>
      <c r="C28" s="24"/>
      <c r="D28" s="24"/>
      <c r="E28" s="24"/>
      <c r="F28" s="25"/>
      <c r="G28" s="26"/>
      <c r="H28" s="27" t="s">
        <v>110</v>
      </c>
      <c r="I28" s="24"/>
      <c r="J28" s="24"/>
      <c r="K28" s="28" t="s">
        <v>111</v>
      </c>
      <c r="L28" s="24"/>
      <c r="M28" s="24"/>
      <c r="N28" s="25"/>
      <c r="O28" s="24"/>
      <c r="P28" s="27" t="s">
        <v>112</v>
      </c>
      <c r="Q28" s="24"/>
      <c r="R28" s="24"/>
      <c r="S28" s="28" t="s">
        <v>25</v>
      </c>
      <c r="T28" s="24"/>
      <c r="U28" s="24"/>
      <c r="V28" s="25"/>
      <c r="W28" s="26"/>
      <c r="X28" s="32" t="s">
        <v>113</v>
      </c>
      <c r="AA28" s="33" t="s">
        <v>82</v>
      </c>
      <c r="AD28" s="31"/>
      <c r="AE28" s="24"/>
      <c r="AF28" s="27" t="s">
        <v>114</v>
      </c>
      <c r="AG28" s="24"/>
      <c r="AH28" s="24"/>
      <c r="AI28" s="28" t="s">
        <v>44</v>
      </c>
      <c r="AJ28" s="24"/>
      <c r="AK28" s="24"/>
      <c r="AL28" s="25"/>
      <c r="AM28" s="6"/>
    </row>
    <row r="29" ht="24.75" customHeight="1">
      <c r="A29" s="2"/>
      <c r="B29" s="15" t="s">
        <v>115</v>
      </c>
      <c r="C29" s="16"/>
      <c r="D29" s="16"/>
      <c r="E29" s="16"/>
      <c r="F29" s="17"/>
      <c r="G29" s="18">
        <v>29.0</v>
      </c>
      <c r="H29" s="19" t="s">
        <v>116</v>
      </c>
      <c r="I29" s="16"/>
      <c r="J29" s="16"/>
      <c r="K29" s="20" t="s">
        <v>108</v>
      </c>
      <c r="L29" s="16"/>
      <c r="M29" s="16"/>
      <c r="N29" s="17"/>
      <c r="O29" s="21">
        <v>30.0</v>
      </c>
      <c r="P29" s="19" t="s">
        <v>117</v>
      </c>
      <c r="Q29" s="16"/>
      <c r="R29" s="16"/>
      <c r="S29" s="20" t="s">
        <v>118</v>
      </c>
      <c r="T29" s="16"/>
      <c r="U29" s="16"/>
      <c r="V29" s="17"/>
      <c r="W29" s="18">
        <v>31.0</v>
      </c>
      <c r="X29" s="19" t="s">
        <v>119</v>
      </c>
      <c r="Y29" s="16"/>
      <c r="Z29" s="16"/>
      <c r="AA29" s="20" t="s">
        <v>59</v>
      </c>
      <c r="AB29" s="16"/>
      <c r="AC29" s="16"/>
      <c r="AD29" s="17"/>
      <c r="AE29" s="21">
        <v>32.0</v>
      </c>
      <c r="AF29" s="19" t="s">
        <v>120</v>
      </c>
      <c r="AG29" s="16"/>
      <c r="AH29" s="16"/>
      <c r="AI29" s="20" t="s">
        <v>121</v>
      </c>
      <c r="AJ29" s="16"/>
      <c r="AK29" s="16"/>
      <c r="AL29" s="17"/>
      <c r="AM29" s="6"/>
    </row>
    <row r="30" ht="24.75" customHeight="1">
      <c r="A30" s="2"/>
      <c r="B30" s="23" t="s">
        <v>122</v>
      </c>
      <c r="C30" s="24"/>
      <c r="D30" s="24"/>
      <c r="E30" s="24"/>
      <c r="F30" s="25"/>
      <c r="G30" s="26"/>
      <c r="H30" s="27" t="s">
        <v>123</v>
      </c>
      <c r="I30" s="24"/>
      <c r="J30" s="24"/>
      <c r="K30" s="28" t="s">
        <v>108</v>
      </c>
      <c r="L30" s="24"/>
      <c r="M30" s="24"/>
      <c r="N30" s="25"/>
      <c r="O30" s="24"/>
      <c r="P30" s="27" t="s">
        <v>124</v>
      </c>
      <c r="Q30" s="24"/>
      <c r="R30" s="24"/>
      <c r="S30" s="28" t="s">
        <v>87</v>
      </c>
      <c r="T30" s="24"/>
      <c r="U30" s="24"/>
      <c r="V30" s="25"/>
      <c r="W30" s="26"/>
      <c r="X30" s="32" t="s">
        <v>125</v>
      </c>
      <c r="AA30" s="33" t="s">
        <v>30</v>
      </c>
      <c r="AD30" s="31"/>
      <c r="AE30" s="24"/>
      <c r="AF30" s="27" t="s">
        <v>126</v>
      </c>
      <c r="AG30" s="24"/>
      <c r="AH30" s="24"/>
      <c r="AI30" s="28" t="s">
        <v>121</v>
      </c>
      <c r="AJ30" s="24"/>
      <c r="AK30" s="24"/>
      <c r="AL30" s="25"/>
      <c r="AM30" s="6"/>
    </row>
    <row r="31" ht="24.75" customHeight="1">
      <c r="A31" s="2"/>
      <c r="B31" s="35" t="s">
        <v>127</v>
      </c>
      <c r="C31" s="16"/>
      <c r="D31" s="16"/>
      <c r="E31" s="16"/>
      <c r="F31" s="17"/>
      <c r="G31" s="18">
        <v>33.0</v>
      </c>
      <c r="H31" s="19" t="s">
        <v>128</v>
      </c>
      <c r="I31" s="16"/>
      <c r="J31" s="16"/>
      <c r="K31" s="20" t="s">
        <v>32</v>
      </c>
      <c r="L31" s="16"/>
      <c r="M31" s="16"/>
      <c r="N31" s="17"/>
      <c r="O31" s="21">
        <v>34.0</v>
      </c>
      <c r="P31" s="19" t="s">
        <v>129</v>
      </c>
      <c r="Q31" s="16"/>
      <c r="R31" s="16"/>
      <c r="S31" s="20" t="s">
        <v>54</v>
      </c>
      <c r="T31" s="16"/>
      <c r="U31" s="16"/>
      <c r="V31" s="17"/>
      <c r="W31" s="18">
        <v>35.0</v>
      </c>
      <c r="X31" s="19" t="s">
        <v>130</v>
      </c>
      <c r="Y31" s="16"/>
      <c r="Z31" s="16"/>
      <c r="AA31" s="20" t="s">
        <v>42</v>
      </c>
      <c r="AB31" s="16"/>
      <c r="AC31" s="16"/>
      <c r="AD31" s="17"/>
      <c r="AE31" s="21">
        <v>36.0</v>
      </c>
      <c r="AF31" s="19" t="s">
        <v>131</v>
      </c>
      <c r="AG31" s="16"/>
      <c r="AH31" s="16"/>
      <c r="AI31" s="20" t="s">
        <v>108</v>
      </c>
      <c r="AJ31" s="16"/>
      <c r="AK31" s="16"/>
      <c r="AL31" s="17"/>
      <c r="AM31" s="6"/>
    </row>
    <row r="32" ht="24.75" customHeight="1">
      <c r="A32" s="2"/>
      <c r="B32" s="23" t="s">
        <v>132</v>
      </c>
      <c r="C32" s="24"/>
      <c r="D32" s="24"/>
      <c r="E32" s="24"/>
      <c r="F32" s="25"/>
      <c r="G32" s="26"/>
      <c r="H32" s="27" t="s">
        <v>133</v>
      </c>
      <c r="I32" s="24"/>
      <c r="J32" s="24"/>
      <c r="K32" s="28" t="s">
        <v>134</v>
      </c>
      <c r="L32" s="24"/>
      <c r="M32" s="24"/>
      <c r="N32" s="25"/>
      <c r="O32" s="24"/>
      <c r="P32" s="27" t="s">
        <v>135</v>
      </c>
      <c r="Q32" s="24"/>
      <c r="R32" s="24"/>
      <c r="S32" s="28" t="s">
        <v>30</v>
      </c>
      <c r="T32" s="24"/>
      <c r="U32" s="24"/>
      <c r="V32" s="25"/>
      <c r="W32" s="26"/>
      <c r="X32" s="32" t="s">
        <v>136</v>
      </c>
      <c r="AA32" s="33" t="s">
        <v>30</v>
      </c>
      <c r="AD32" s="31"/>
      <c r="AE32" s="24"/>
      <c r="AF32" s="27" t="s">
        <v>137</v>
      </c>
      <c r="AG32" s="24"/>
      <c r="AH32" s="24"/>
      <c r="AI32" s="28" t="s">
        <v>108</v>
      </c>
      <c r="AJ32" s="24"/>
      <c r="AK32" s="24"/>
      <c r="AL32" s="25"/>
      <c r="AM32" s="6"/>
    </row>
    <row r="33" ht="24.75" customHeight="1">
      <c r="A33" s="2"/>
      <c r="B33" s="35" t="s">
        <v>138</v>
      </c>
      <c r="C33" s="16"/>
      <c r="D33" s="16"/>
      <c r="E33" s="16"/>
      <c r="F33" s="17"/>
      <c r="G33" s="18">
        <v>37.0</v>
      </c>
      <c r="H33" s="19" t="s">
        <v>139</v>
      </c>
      <c r="I33" s="16"/>
      <c r="J33" s="16"/>
      <c r="K33" s="20" t="s">
        <v>25</v>
      </c>
      <c r="L33" s="16"/>
      <c r="M33" s="16"/>
      <c r="N33" s="17"/>
      <c r="O33" s="21">
        <v>38.0</v>
      </c>
      <c r="P33" s="19" t="s">
        <v>140</v>
      </c>
      <c r="Q33" s="16"/>
      <c r="R33" s="16"/>
      <c r="S33" s="20" t="s">
        <v>141</v>
      </c>
      <c r="T33" s="16"/>
      <c r="U33" s="16"/>
      <c r="V33" s="17"/>
      <c r="W33" s="18">
        <v>39.0</v>
      </c>
      <c r="X33" s="19" t="s">
        <v>142</v>
      </c>
      <c r="Y33" s="16"/>
      <c r="Z33" s="16"/>
      <c r="AA33" s="20" t="s">
        <v>34</v>
      </c>
      <c r="AB33" s="16"/>
      <c r="AC33" s="16"/>
      <c r="AD33" s="17"/>
      <c r="AE33" s="21">
        <v>40.0</v>
      </c>
      <c r="AF33" s="19" t="s">
        <v>143</v>
      </c>
      <c r="AG33" s="16"/>
      <c r="AH33" s="16"/>
      <c r="AI33" s="20" t="s">
        <v>59</v>
      </c>
      <c r="AJ33" s="16"/>
      <c r="AK33" s="16"/>
      <c r="AL33" s="17"/>
      <c r="AM33" s="6"/>
    </row>
    <row r="34" ht="24.75" customHeight="1">
      <c r="A34" s="2"/>
      <c r="B34" s="36" t="s">
        <v>144</v>
      </c>
      <c r="F34" s="31"/>
      <c r="G34" s="26"/>
      <c r="H34" s="27" t="s">
        <v>145</v>
      </c>
      <c r="I34" s="24"/>
      <c r="J34" s="24"/>
      <c r="K34" s="28" t="s">
        <v>30</v>
      </c>
      <c r="L34" s="24"/>
      <c r="M34" s="24"/>
      <c r="N34" s="25"/>
      <c r="O34" s="24"/>
      <c r="P34" s="27" t="s">
        <v>146</v>
      </c>
      <c r="Q34" s="24"/>
      <c r="R34" s="24"/>
      <c r="S34" s="28" t="s">
        <v>30</v>
      </c>
      <c r="T34" s="24"/>
      <c r="U34" s="24"/>
      <c r="V34" s="25"/>
      <c r="W34" s="26"/>
      <c r="X34" s="32" t="s">
        <v>147</v>
      </c>
      <c r="AA34" s="33" t="s">
        <v>148</v>
      </c>
      <c r="AD34" s="31"/>
      <c r="AE34" s="24"/>
      <c r="AF34" s="27" t="s">
        <v>149</v>
      </c>
      <c r="AG34" s="24"/>
      <c r="AH34" s="24"/>
      <c r="AI34" s="28" t="s">
        <v>50</v>
      </c>
      <c r="AJ34" s="24"/>
      <c r="AK34" s="24"/>
      <c r="AL34" s="25"/>
      <c r="AM34" s="6"/>
    </row>
    <row r="35" ht="24.75" customHeight="1">
      <c r="A35" s="2"/>
      <c r="B35" s="35" t="s">
        <v>150</v>
      </c>
      <c r="C35" s="16"/>
      <c r="D35" s="16"/>
      <c r="E35" s="16"/>
      <c r="F35" s="17"/>
      <c r="G35" s="18">
        <v>41.0</v>
      </c>
      <c r="H35" s="19" t="s">
        <v>151</v>
      </c>
      <c r="I35" s="16"/>
      <c r="J35" s="16"/>
      <c r="K35" s="20" t="s">
        <v>54</v>
      </c>
      <c r="L35" s="16"/>
      <c r="M35" s="16"/>
      <c r="N35" s="17"/>
      <c r="O35" s="21">
        <v>42.0</v>
      </c>
      <c r="P35" s="19" t="s">
        <v>152</v>
      </c>
      <c r="Q35" s="16"/>
      <c r="R35" s="16"/>
      <c r="S35" s="20" t="s">
        <v>34</v>
      </c>
      <c r="T35" s="16"/>
      <c r="U35" s="16"/>
      <c r="V35" s="17"/>
      <c r="W35" s="18">
        <v>43.0</v>
      </c>
      <c r="X35" s="19" t="s">
        <v>153</v>
      </c>
      <c r="Y35" s="16"/>
      <c r="Z35" s="16"/>
      <c r="AA35" s="20" t="s">
        <v>108</v>
      </c>
      <c r="AB35" s="16"/>
      <c r="AC35" s="16"/>
      <c r="AD35" s="17"/>
      <c r="AE35" s="21">
        <v>44.0</v>
      </c>
      <c r="AF35" s="19" t="s">
        <v>154</v>
      </c>
      <c r="AG35" s="16"/>
      <c r="AH35" s="16"/>
      <c r="AI35" s="20" t="s">
        <v>30</v>
      </c>
      <c r="AJ35" s="16"/>
      <c r="AK35" s="16"/>
      <c r="AL35" s="17"/>
      <c r="AM35" s="6"/>
    </row>
    <row r="36" ht="24.75" customHeight="1">
      <c r="A36" s="2"/>
      <c r="B36" s="23" t="s">
        <v>155</v>
      </c>
      <c r="C36" s="24"/>
      <c r="D36" s="24"/>
      <c r="E36" s="24"/>
      <c r="F36" s="25"/>
      <c r="G36" s="26"/>
      <c r="H36" s="27" t="s">
        <v>156</v>
      </c>
      <c r="I36" s="24"/>
      <c r="J36" s="24"/>
      <c r="K36" s="28" t="s">
        <v>30</v>
      </c>
      <c r="L36" s="24"/>
      <c r="M36" s="24"/>
      <c r="N36" s="25"/>
      <c r="O36" s="24"/>
      <c r="P36" s="27" t="s">
        <v>157</v>
      </c>
      <c r="Q36" s="24"/>
      <c r="R36" s="24"/>
      <c r="S36" s="28" t="s">
        <v>30</v>
      </c>
      <c r="T36" s="24"/>
      <c r="U36" s="24"/>
      <c r="V36" s="25"/>
      <c r="W36" s="26"/>
      <c r="X36" s="32" t="s">
        <v>158</v>
      </c>
      <c r="AA36" s="33" t="s">
        <v>30</v>
      </c>
      <c r="AD36" s="31"/>
      <c r="AE36" s="24"/>
      <c r="AF36" s="27" t="s">
        <v>159</v>
      </c>
      <c r="AG36" s="24"/>
      <c r="AH36" s="24"/>
      <c r="AI36" s="28" t="s">
        <v>160</v>
      </c>
      <c r="AJ36" s="24"/>
      <c r="AK36" s="24"/>
      <c r="AL36" s="25"/>
      <c r="AM36" s="6"/>
    </row>
    <row r="37" ht="24.75" customHeight="1">
      <c r="A37" s="2"/>
      <c r="B37" s="35"/>
      <c r="C37" s="16"/>
      <c r="D37" s="16"/>
      <c r="E37" s="16"/>
      <c r="F37" s="17"/>
      <c r="G37" s="18">
        <v>45.0</v>
      </c>
      <c r="H37" s="19" t="s">
        <v>161</v>
      </c>
      <c r="I37" s="16"/>
      <c r="J37" s="16"/>
      <c r="K37" s="20" t="s">
        <v>162</v>
      </c>
      <c r="L37" s="16"/>
      <c r="M37" s="16"/>
      <c r="N37" s="17"/>
      <c r="O37" s="21">
        <v>46.0</v>
      </c>
      <c r="P37" s="19" t="s">
        <v>163</v>
      </c>
      <c r="Q37" s="16"/>
      <c r="R37" s="16"/>
      <c r="S37" s="20" t="s">
        <v>108</v>
      </c>
      <c r="T37" s="16"/>
      <c r="U37" s="16"/>
      <c r="V37" s="16"/>
      <c r="W37" s="18">
        <v>47.0</v>
      </c>
      <c r="X37" s="19" t="s">
        <v>164</v>
      </c>
      <c r="Y37" s="16"/>
      <c r="Z37" s="16"/>
      <c r="AA37" s="20" t="s">
        <v>44</v>
      </c>
      <c r="AB37" s="16"/>
      <c r="AC37" s="16"/>
      <c r="AD37" s="17"/>
      <c r="AE37" s="21">
        <v>48.0</v>
      </c>
      <c r="AF37" s="19" t="s">
        <v>165</v>
      </c>
      <c r="AG37" s="16"/>
      <c r="AH37" s="16"/>
      <c r="AI37" s="20" t="s">
        <v>30</v>
      </c>
      <c r="AJ37" s="16"/>
      <c r="AK37" s="16"/>
      <c r="AL37" s="17"/>
      <c r="AM37" s="6"/>
    </row>
    <row r="38" ht="24.75" customHeight="1">
      <c r="A38" s="2"/>
      <c r="B38" s="37" t="s">
        <v>166</v>
      </c>
      <c r="F38" s="31"/>
      <c r="G38" s="38"/>
      <c r="H38" s="32" t="s">
        <v>167</v>
      </c>
      <c r="K38" s="33" t="s">
        <v>162</v>
      </c>
      <c r="N38" s="31"/>
      <c r="P38" s="32" t="s">
        <v>168</v>
      </c>
      <c r="S38" s="33" t="s">
        <v>108</v>
      </c>
      <c r="W38" s="38"/>
      <c r="X38" s="32" t="s">
        <v>169</v>
      </c>
      <c r="AA38" s="33" t="s">
        <v>44</v>
      </c>
      <c r="AD38" s="31"/>
      <c r="AF38" s="32" t="s">
        <v>170</v>
      </c>
      <c r="AI38" s="33" t="s">
        <v>30</v>
      </c>
      <c r="AL38" s="31"/>
      <c r="AM38" s="6"/>
    </row>
    <row r="39" ht="24.75" customHeight="1">
      <c r="A39" s="2"/>
      <c r="B39" s="36" t="s">
        <v>171</v>
      </c>
      <c r="F39" s="31"/>
      <c r="G39" s="39">
        <v>49.0</v>
      </c>
      <c r="H39" s="40" t="s">
        <v>172</v>
      </c>
      <c r="I39" s="41"/>
      <c r="J39" s="41"/>
      <c r="K39" s="42" t="s">
        <v>30</v>
      </c>
      <c r="L39" s="41"/>
      <c r="M39" s="41"/>
      <c r="N39" s="43"/>
      <c r="O39" s="44" t="s">
        <v>173</v>
      </c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3"/>
      <c r="AM39" s="6"/>
    </row>
    <row r="40" ht="24.75" customHeight="1">
      <c r="A40" s="2"/>
      <c r="B40" s="45"/>
      <c r="C40" s="24"/>
      <c r="D40" s="24"/>
      <c r="E40" s="24"/>
      <c r="F40" s="25"/>
      <c r="G40" s="26"/>
      <c r="H40" s="27" t="s">
        <v>174</v>
      </c>
      <c r="I40" s="24"/>
      <c r="J40" s="24"/>
      <c r="K40" s="28" t="s">
        <v>36</v>
      </c>
      <c r="L40" s="24"/>
      <c r="M40" s="24"/>
      <c r="N40" s="25"/>
      <c r="O40" s="26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5"/>
      <c r="AM40" s="6"/>
    </row>
    <row r="41" ht="24.75" customHeight="1">
      <c r="A41" s="2"/>
      <c r="B41" s="36"/>
      <c r="F41" s="31"/>
      <c r="G41" s="18">
        <v>50.0</v>
      </c>
      <c r="H41" s="19" t="s">
        <v>175</v>
      </c>
      <c r="I41" s="16"/>
      <c r="J41" s="16"/>
      <c r="K41" s="20" t="s">
        <v>176</v>
      </c>
      <c r="L41" s="16"/>
      <c r="M41" s="16"/>
      <c r="N41" s="17"/>
      <c r="O41" s="18">
        <v>51.0</v>
      </c>
      <c r="P41" s="19" t="s">
        <v>177</v>
      </c>
      <c r="Q41" s="16"/>
      <c r="R41" s="16"/>
      <c r="S41" s="20" t="s">
        <v>42</v>
      </c>
      <c r="T41" s="16"/>
      <c r="U41" s="16"/>
      <c r="V41" s="17"/>
      <c r="W41" s="18">
        <v>52.0</v>
      </c>
      <c r="X41" s="19" t="s">
        <v>178</v>
      </c>
      <c r="Y41" s="16"/>
      <c r="Z41" s="16"/>
      <c r="AA41" s="20" t="s">
        <v>179</v>
      </c>
      <c r="AB41" s="16"/>
      <c r="AC41" s="16"/>
      <c r="AD41" s="17"/>
      <c r="AE41" s="21">
        <v>53.0</v>
      </c>
      <c r="AF41" s="19" t="s">
        <v>180</v>
      </c>
      <c r="AG41" s="16"/>
      <c r="AH41" s="16"/>
      <c r="AI41" s="20" t="s">
        <v>181</v>
      </c>
      <c r="AJ41" s="16"/>
      <c r="AK41" s="16"/>
      <c r="AL41" s="17"/>
      <c r="AM41" s="6"/>
    </row>
    <row r="42" ht="24.75" customHeight="1">
      <c r="A42" s="2"/>
      <c r="B42" s="37" t="s">
        <v>182</v>
      </c>
      <c r="F42" s="31"/>
      <c r="G42" s="38"/>
      <c r="H42" s="32" t="s">
        <v>183</v>
      </c>
      <c r="K42" s="33" t="s">
        <v>184</v>
      </c>
      <c r="N42" s="31"/>
      <c r="O42" s="38"/>
      <c r="P42" s="32" t="s">
        <v>185</v>
      </c>
      <c r="S42" s="33" t="s">
        <v>87</v>
      </c>
      <c r="W42" s="38"/>
      <c r="X42" s="32" t="s">
        <v>186</v>
      </c>
      <c r="AA42" s="33" t="s">
        <v>187</v>
      </c>
      <c r="AD42" s="31"/>
      <c r="AF42" s="32" t="s">
        <v>188</v>
      </c>
      <c r="AI42" s="33" t="s">
        <v>181</v>
      </c>
      <c r="AL42" s="31"/>
      <c r="AM42" s="6"/>
    </row>
    <row r="43" ht="24.75" customHeight="1">
      <c r="A43" s="2"/>
      <c r="B43" s="36" t="s">
        <v>189</v>
      </c>
      <c r="F43" s="31"/>
      <c r="G43" s="39">
        <v>54.0</v>
      </c>
      <c r="H43" s="40" t="s">
        <v>190</v>
      </c>
      <c r="I43" s="41"/>
      <c r="J43" s="41"/>
      <c r="K43" s="42" t="s">
        <v>30</v>
      </c>
      <c r="L43" s="41"/>
      <c r="M43" s="41"/>
      <c r="N43" s="43"/>
      <c r="O43" s="44" t="s">
        <v>191</v>
      </c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3"/>
      <c r="AM43" s="6"/>
    </row>
    <row r="44" ht="24.75" customHeight="1">
      <c r="A44" s="2"/>
      <c r="B44" s="46"/>
      <c r="C44" s="24"/>
      <c r="D44" s="24"/>
      <c r="E44" s="24"/>
      <c r="F44" s="25"/>
      <c r="G44" s="26"/>
      <c r="H44" s="27" t="s">
        <v>192</v>
      </c>
      <c r="I44" s="24"/>
      <c r="J44" s="24"/>
      <c r="K44" s="28" t="s">
        <v>70</v>
      </c>
      <c r="L44" s="24"/>
      <c r="M44" s="24"/>
      <c r="N44" s="25"/>
      <c r="O44" s="26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5"/>
      <c r="AM44" s="6"/>
    </row>
    <row r="45" ht="24.75" customHeight="1">
      <c r="A45" s="2"/>
      <c r="B45" s="47"/>
      <c r="C45" s="48"/>
      <c r="D45" s="48"/>
      <c r="E45" s="48"/>
      <c r="F45" s="48"/>
      <c r="G45" s="49"/>
      <c r="H45" s="50"/>
      <c r="I45" s="50"/>
      <c r="J45" s="50"/>
      <c r="K45" s="51"/>
      <c r="L45" s="51"/>
      <c r="M45" s="51"/>
      <c r="N45" s="51"/>
      <c r="O45" s="49"/>
      <c r="P45" s="50"/>
      <c r="Q45" s="50"/>
      <c r="R45" s="50"/>
      <c r="S45" s="51"/>
      <c r="T45" s="51"/>
      <c r="U45" s="51"/>
      <c r="V45" s="51"/>
      <c r="W45" s="49"/>
      <c r="X45" s="50"/>
      <c r="Y45" s="50"/>
      <c r="Z45" s="50"/>
      <c r="AA45" s="51"/>
      <c r="AB45" s="51"/>
      <c r="AC45" s="51"/>
      <c r="AD45" s="51"/>
      <c r="AE45" s="49"/>
      <c r="AF45" s="50"/>
      <c r="AG45" s="50"/>
      <c r="AH45" s="50"/>
      <c r="AI45" s="51"/>
      <c r="AJ45" s="51"/>
      <c r="AK45" s="51"/>
      <c r="AL45" s="51"/>
      <c r="AM45" s="6"/>
    </row>
    <row r="46" ht="24.75" customHeight="1">
      <c r="A46" s="2"/>
      <c r="B46" s="52"/>
      <c r="C46" s="52"/>
      <c r="D46" s="52"/>
      <c r="E46" s="52"/>
      <c r="F46" s="52"/>
      <c r="G46" s="53"/>
      <c r="H46" s="54"/>
      <c r="I46" s="54"/>
      <c r="J46" s="54"/>
      <c r="K46" s="55"/>
      <c r="L46" s="55"/>
      <c r="M46" s="55"/>
      <c r="N46" s="55"/>
      <c r="O46" s="53"/>
      <c r="P46" s="54"/>
      <c r="Q46" s="54"/>
      <c r="R46" s="54"/>
      <c r="S46" s="55"/>
      <c r="T46" s="55"/>
      <c r="U46" s="55"/>
      <c r="V46" s="55"/>
      <c r="W46" s="53"/>
      <c r="X46" s="54"/>
      <c r="Y46" s="54"/>
      <c r="Z46" s="54"/>
      <c r="AA46" s="55"/>
      <c r="AB46" s="55"/>
      <c r="AC46" s="55"/>
      <c r="AD46" s="55"/>
      <c r="AE46" s="53"/>
      <c r="AF46" s="54"/>
      <c r="AG46" s="54"/>
      <c r="AH46" s="54"/>
      <c r="AI46" s="55"/>
      <c r="AJ46" s="55"/>
      <c r="AK46" s="55"/>
      <c r="AL46" s="55"/>
      <c r="AM46" s="6"/>
    </row>
    <row r="47" ht="17.25" customHeight="1">
      <c r="A47" s="12"/>
      <c r="B47" s="56"/>
      <c r="O47" s="57"/>
      <c r="AM47" s="56"/>
    </row>
    <row r="48" ht="17.25" customHeight="1">
      <c r="A48" s="12"/>
      <c r="B48" s="12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6"/>
      <c r="AL48" s="56"/>
      <c r="AM48" s="56"/>
    </row>
    <row r="49" ht="17.25" customHeight="1">
      <c r="A49" s="12"/>
      <c r="B49" s="12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6"/>
      <c r="AL49" s="56"/>
      <c r="AM49" s="56"/>
    </row>
    <row r="50" ht="17.25" customHeight="1">
      <c r="A50" s="12"/>
      <c r="B50" s="12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6"/>
      <c r="AL50" s="56"/>
      <c r="AM50" s="56"/>
    </row>
    <row r="51" ht="17.25" customHeight="1">
      <c r="A51" s="12"/>
      <c r="B51" s="12"/>
      <c r="C51" s="12"/>
      <c r="D51" s="12"/>
      <c r="E51" s="12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6"/>
      <c r="AL51" s="56"/>
      <c r="AM51" s="56"/>
    </row>
    <row r="52" ht="17.25" customHeight="1">
      <c r="A52" s="12"/>
      <c r="B52" s="12"/>
      <c r="C52" s="12"/>
      <c r="D52" s="12"/>
      <c r="E52" s="12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</row>
    <row r="53" ht="17.25" customHeight="1">
      <c r="A53" s="12"/>
      <c r="B53" s="12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6"/>
      <c r="AL53" s="56"/>
      <c r="AM53" s="56"/>
    </row>
    <row r="54" ht="17.25" customHeight="1">
      <c r="A54" s="12"/>
      <c r="B54" s="12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</row>
    <row r="55" ht="17.25" customHeight="1">
      <c r="A55" s="12"/>
      <c r="B55" s="12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</row>
    <row r="56" ht="15.0" customHeight="1">
      <c r="A56" s="2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60"/>
      <c r="M56" s="60"/>
      <c r="N56" s="3"/>
      <c r="O56" s="3"/>
      <c r="P56" s="3"/>
      <c r="Q56" s="3"/>
      <c r="R56" s="3"/>
      <c r="S56" s="61"/>
      <c r="T56" s="61"/>
      <c r="U56" s="61"/>
      <c r="V56" s="61"/>
      <c r="W56" s="62"/>
      <c r="X56" s="62"/>
      <c r="Y56" s="62"/>
      <c r="Z56" s="62"/>
      <c r="AA56" s="62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ht="15.0" customHeight="1">
      <c r="A57" s="2"/>
      <c r="B57" s="59"/>
      <c r="C57" s="59"/>
      <c r="D57" s="59"/>
      <c r="E57" s="60"/>
      <c r="F57" s="60"/>
      <c r="G57" s="60"/>
      <c r="H57" s="60"/>
      <c r="I57" s="60"/>
      <c r="J57" s="60"/>
      <c r="K57" s="60"/>
      <c r="L57" s="60"/>
      <c r="M57" s="60"/>
      <c r="N57" s="3"/>
      <c r="O57" s="3"/>
      <c r="P57" s="3"/>
      <c r="Q57" s="3"/>
      <c r="R57" s="3"/>
      <c r="S57" s="3"/>
      <c r="T57" s="3"/>
      <c r="U57" s="61"/>
      <c r="V57" s="61"/>
      <c r="W57" s="61"/>
      <c r="X57" s="61"/>
      <c r="Y57" s="62"/>
      <c r="Z57" s="62"/>
      <c r="AA57" s="62"/>
      <c r="AB57" s="62"/>
      <c r="AC57" s="62"/>
      <c r="AD57" s="6"/>
      <c r="AE57" s="6"/>
      <c r="AF57" s="6"/>
      <c r="AG57" s="6"/>
      <c r="AH57" s="6"/>
      <c r="AI57" s="6"/>
      <c r="AJ57" s="6"/>
      <c r="AK57" s="6"/>
      <c r="AL57" s="6"/>
      <c r="AM57" s="6"/>
    </row>
    <row r="58" ht="15.0" customHeight="1">
      <c r="A58" s="2"/>
      <c r="B58" s="59"/>
      <c r="C58" s="59"/>
      <c r="D58" s="59"/>
      <c r="E58" s="2"/>
      <c r="F58" s="2"/>
      <c r="G58" s="2"/>
      <c r="H58" s="2"/>
      <c r="I58" s="2"/>
      <c r="J58" s="2"/>
      <c r="K58" s="5"/>
      <c r="L58" s="5"/>
      <c r="M58" s="5"/>
      <c r="N58" s="62"/>
      <c r="O58" s="62"/>
      <c r="P58" s="62"/>
      <c r="Q58" s="62"/>
      <c r="R58" s="6"/>
      <c r="S58" s="6"/>
      <c r="T58" s="6"/>
      <c r="U58" s="6"/>
      <c r="V58" s="6"/>
      <c r="W58" s="6"/>
      <c r="X58" s="6"/>
      <c r="Y58" s="6"/>
      <c r="Z58" s="62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6"/>
      <c r="AL58" s="6"/>
      <c r="AM58" s="6"/>
    </row>
    <row r="59" ht="15.0" customHeight="1">
      <c r="A59" s="2"/>
      <c r="B59" s="59"/>
      <c r="C59" s="59"/>
      <c r="D59" s="59"/>
      <c r="E59" s="2"/>
      <c r="F59" s="2"/>
      <c r="G59" s="2"/>
      <c r="H59" s="2"/>
      <c r="I59" s="2"/>
      <c r="J59" s="5"/>
      <c r="K59" s="2"/>
      <c r="L59" s="2"/>
      <c r="M59" s="61"/>
      <c r="N59" s="61"/>
      <c r="O59" s="61"/>
      <c r="P59" s="61"/>
      <c r="Q59" s="2"/>
      <c r="R59" s="2"/>
      <c r="S59" s="6"/>
      <c r="T59" s="6"/>
      <c r="U59" s="6"/>
      <c r="V59" s="6"/>
      <c r="W59" s="6"/>
      <c r="X59" s="6"/>
      <c r="Y59" s="61"/>
      <c r="Z59" s="5"/>
      <c r="AA59" s="2"/>
      <c r="AB59" s="2"/>
      <c r="AC59" s="2"/>
      <c r="AD59" s="2"/>
      <c r="AE59" s="61"/>
      <c r="AF59" s="61"/>
      <c r="AG59" s="61"/>
      <c r="AH59" s="61"/>
      <c r="AI59" s="61"/>
      <c r="AJ59" s="61"/>
      <c r="AK59" s="6"/>
      <c r="AL59" s="6"/>
      <c r="AM59" s="6"/>
    </row>
    <row r="60" ht="15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6"/>
      <c r="AD60" s="2"/>
      <c r="AE60" s="2"/>
      <c r="AF60" s="6"/>
      <c r="AG60" s="2"/>
      <c r="AH60" s="2"/>
      <c r="AI60" s="6"/>
      <c r="AJ60" s="2"/>
      <c r="AK60" s="2"/>
      <c r="AL60" s="6"/>
      <c r="AM60" s="6"/>
    </row>
    <row r="61" ht="15.0" customHeight="1">
      <c r="A61" s="2"/>
      <c r="B61" s="2"/>
      <c r="C61" s="2"/>
      <c r="D61" s="2"/>
      <c r="E61" s="2"/>
      <c r="F61" s="2"/>
      <c r="G61" s="2"/>
      <c r="H61" s="2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2"/>
      <c r="X61" s="2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</row>
    <row r="62" ht="15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</row>
    <row r="63" ht="15.0" customHeight="1">
      <c r="A63" s="2"/>
      <c r="B63" s="2"/>
      <c r="C63" s="2"/>
      <c r="D63" s="2"/>
      <c r="E63" s="2"/>
      <c r="F63" s="2"/>
      <c r="G63" s="2"/>
      <c r="H63" s="2"/>
      <c r="I63" s="63"/>
      <c r="J63" s="2"/>
      <c r="K63" s="2"/>
      <c r="L63" s="2"/>
      <c r="M63" s="2"/>
      <c r="N63" s="63"/>
      <c r="O63" s="63"/>
      <c r="P63" s="2"/>
      <c r="Q63" s="2"/>
      <c r="R63" s="2"/>
      <c r="S63" s="2"/>
      <c r="T63" s="2"/>
      <c r="U63" s="2"/>
      <c r="V63" s="2"/>
      <c r="W63" s="2"/>
      <c r="X63" s="2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</row>
    <row r="64" ht="15.0" customHeight="1">
      <c r="A64" s="2"/>
      <c r="B64" s="2"/>
      <c r="C64" s="2"/>
      <c r="D64" s="2"/>
      <c r="E64" s="2"/>
      <c r="F64" s="2"/>
      <c r="G64" s="2"/>
      <c r="H64" s="2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2"/>
      <c r="X64" s="2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</row>
    <row r="65" ht="15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</row>
    <row r="66" ht="15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</row>
    <row r="67" ht="15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</row>
    <row r="68" ht="15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</row>
    <row r="69" ht="15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</row>
    <row r="76" ht="19.5" customHeight="1">
      <c r="A76" s="2"/>
      <c r="B76" s="2"/>
      <c r="C76" s="2"/>
      <c r="D76" s="2"/>
      <c r="E76" s="2"/>
      <c r="F76" s="2"/>
      <c r="G76" s="64"/>
      <c r="H76" s="64"/>
      <c r="I76" s="64"/>
      <c r="J76" s="64"/>
      <c r="K76" s="64"/>
      <c r="L76" s="64"/>
      <c r="M76" s="64"/>
      <c r="N76" s="64"/>
      <c r="O76" s="2"/>
      <c r="P76" s="2"/>
      <c r="Q76" s="2"/>
      <c r="R76" s="2"/>
      <c r="S76" s="2"/>
      <c r="T76" s="2"/>
      <c r="U76" s="2"/>
      <c r="V76" s="2"/>
      <c r="W76" s="2"/>
      <c r="X76" s="2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</row>
  </sheetData>
  <mergeCells count="322">
    <mergeCell ref="AF15:AH15"/>
    <mergeCell ref="AF16:AH16"/>
    <mergeCell ref="S15:V15"/>
    <mergeCell ref="W15:W16"/>
    <mergeCell ref="AA15:AD15"/>
    <mergeCell ref="AE15:AE16"/>
    <mergeCell ref="AI15:AL15"/>
    <mergeCell ref="S16:V16"/>
    <mergeCell ref="AA16:AD16"/>
    <mergeCell ref="AI16:AL16"/>
    <mergeCell ref="X17:Z17"/>
    <mergeCell ref="X18:Z18"/>
    <mergeCell ref="AF17:AH17"/>
    <mergeCell ref="AF18:AH18"/>
    <mergeCell ref="X15:Z15"/>
    <mergeCell ref="X16:Z16"/>
    <mergeCell ref="W17:W18"/>
    <mergeCell ref="AA17:AD17"/>
    <mergeCell ref="AE17:AE18"/>
    <mergeCell ref="AI17:AL17"/>
    <mergeCell ref="AA18:AD18"/>
    <mergeCell ref="AI18:AL18"/>
    <mergeCell ref="P15:R15"/>
    <mergeCell ref="P16:R16"/>
    <mergeCell ref="P17:R17"/>
    <mergeCell ref="S17:V17"/>
    <mergeCell ref="P18:R18"/>
    <mergeCell ref="S18:V18"/>
    <mergeCell ref="P19:R19"/>
    <mergeCell ref="P22:R22"/>
    <mergeCell ref="P24:R24"/>
    <mergeCell ref="P26:R26"/>
    <mergeCell ref="P28:R28"/>
    <mergeCell ref="W23:W24"/>
    <mergeCell ref="W25:W26"/>
    <mergeCell ref="W27:W28"/>
    <mergeCell ref="S26:V26"/>
    <mergeCell ref="S28:V28"/>
    <mergeCell ref="S19:V19"/>
    <mergeCell ref="W19:W20"/>
    <mergeCell ref="P20:R20"/>
    <mergeCell ref="S20:V20"/>
    <mergeCell ref="W21:W22"/>
    <mergeCell ref="S22:V22"/>
    <mergeCell ref="S24:V24"/>
    <mergeCell ref="X19:Z19"/>
    <mergeCell ref="X20:Z20"/>
    <mergeCell ref="P21:R21"/>
    <mergeCell ref="S21:V21"/>
    <mergeCell ref="AA21:AD21"/>
    <mergeCell ref="AE21:AE22"/>
    <mergeCell ref="AA22:AD22"/>
    <mergeCell ref="AI21:AL21"/>
    <mergeCell ref="AI22:AL22"/>
    <mergeCell ref="AA19:AD19"/>
    <mergeCell ref="AE19:AE20"/>
    <mergeCell ref="AF19:AH19"/>
    <mergeCell ref="AI19:AL19"/>
    <mergeCell ref="AA20:AD20"/>
    <mergeCell ref="AF20:AH20"/>
    <mergeCell ref="AI20:AL20"/>
    <mergeCell ref="AF21:AH21"/>
    <mergeCell ref="AF22:AH22"/>
    <mergeCell ref="AE23:AE24"/>
    <mergeCell ref="AF23:AH23"/>
    <mergeCell ref="AI23:AL23"/>
    <mergeCell ref="AF24:AH24"/>
    <mergeCell ref="AI24:AL24"/>
    <mergeCell ref="X21:Z21"/>
    <mergeCell ref="X22:Z22"/>
    <mergeCell ref="S23:V23"/>
    <mergeCell ref="X23:Z23"/>
    <mergeCell ref="AA23:AD23"/>
    <mergeCell ref="X24:Z24"/>
    <mergeCell ref="AA24:AD24"/>
    <mergeCell ref="AF25:AH25"/>
    <mergeCell ref="AF26:AH26"/>
    <mergeCell ref="P23:R23"/>
    <mergeCell ref="P25:R25"/>
    <mergeCell ref="S25:V25"/>
    <mergeCell ref="AA25:AD25"/>
    <mergeCell ref="AE25:AE26"/>
    <mergeCell ref="AI25:AL25"/>
    <mergeCell ref="AA26:AD26"/>
    <mergeCell ref="AI26:AL26"/>
    <mergeCell ref="X28:Z28"/>
    <mergeCell ref="AA28:AD28"/>
    <mergeCell ref="X25:Z25"/>
    <mergeCell ref="X26:Z26"/>
    <mergeCell ref="P27:R27"/>
    <mergeCell ref="S27:V27"/>
    <mergeCell ref="X27:Z27"/>
    <mergeCell ref="AA27:AD27"/>
    <mergeCell ref="AE27:AE28"/>
    <mergeCell ref="H30:J30"/>
    <mergeCell ref="H31:J31"/>
    <mergeCell ref="H23:J23"/>
    <mergeCell ref="H24:J24"/>
    <mergeCell ref="H25:J25"/>
    <mergeCell ref="H26:J26"/>
    <mergeCell ref="H27:J27"/>
    <mergeCell ref="H28:J28"/>
    <mergeCell ref="H29:J29"/>
    <mergeCell ref="H41:J41"/>
    <mergeCell ref="H42:J42"/>
    <mergeCell ref="H34:J34"/>
    <mergeCell ref="H35:J35"/>
    <mergeCell ref="H36:J36"/>
    <mergeCell ref="G39:G40"/>
    <mergeCell ref="H39:J39"/>
    <mergeCell ref="H40:J40"/>
    <mergeCell ref="G41:G42"/>
    <mergeCell ref="H20:J20"/>
    <mergeCell ref="H21:J21"/>
    <mergeCell ref="K16:N16"/>
    <mergeCell ref="K17:N17"/>
    <mergeCell ref="O17:O18"/>
    <mergeCell ref="K18:N18"/>
    <mergeCell ref="K19:N19"/>
    <mergeCell ref="K20:N20"/>
    <mergeCell ref="K21:N21"/>
    <mergeCell ref="H15:J15"/>
    <mergeCell ref="H16:J16"/>
    <mergeCell ref="G17:G18"/>
    <mergeCell ref="H17:J17"/>
    <mergeCell ref="H18:J18"/>
    <mergeCell ref="H19:J19"/>
    <mergeCell ref="H22:J22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H32:J32"/>
    <mergeCell ref="K32:N32"/>
    <mergeCell ref="H33:J33"/>
    <mergeCell ref="K33:N33"/>
    <mergeCell ref="K34:N34"/>
    <mergeCell ref="G43:G44"/>
    <mergeCell ref="H43:J43"/>
    <mergeCell ref="H44:J44"/>
    <mergeCell ref="K43:N43"/>
    <mergeCell ref="K44:N44"/>
    <mergeCell ref="K35:N35"/>
    <mergeCell ref="K36:N36"/>
    <mergeCell ref="K39:N39"/>
    <mergeCell ref="K40:N40"/>
    <mergeCell ref="K41:N41"/>
    <mergeCell ref="O41:O42"/>
    <mergeCell ref="K42:N42"/>
    <mergeCell ref="P31:R31"/>
    <mergeCell ref="P32:R32"/>
    <mergeCell ref="P35:R35"/>
    <mergeCell ref="P38:R38"/>
    <mergeCell ref="S32:V32"/>
    <mergeCell ref="P33:R33"/>
    <mergeCell ref="S33:V33"/>
    <mergeCell ref="P34:R34"/>
    <mergeCell ref="S34:V34"/>
    <mergeCell ref="S35:V35"/>
    <mergeCell ref="W37:W38"/>
    <mergeCell ref="S38:V38"/>
    <mergeCell ref="AA31:AD31"/>
    <mergeCell ref="AF31:AH31"/>
    <mergeCell ref="AI31:AL31"/>
    <mergeCell ref="AA32:AD32"/>
    <mergeCell ref="AF32:AH32"/>
    <mergeCell ref="AI32:AL32"/>
    <mergeCell ref="W33:W34"/>
    <mergeCell ref="W35:W36"/>
    <mergeCell ref="X35:Z35"/>
    <mergeCell ref="X36:Z36"/>
    <mergeCell ref="X38:Z38"/>
    <mergeCell ref="AE33:AE34"/>
    <mergeCell ref="AE35:AE36"/>
    <mergeCell ref="AE37:AE38"/>
    <mergeCell ref="P36:R36"/>
    <mergeCell ref="S36:V36"/>
    <mergeCell ref="AA36:AD36"/>
    <mergeCell ref="AF36:AH36"/>
    <mergeCell ref="AI36:AL36"/>
    <mergeCell ref="P37:R37"/>
    <mergeCell ref="S37:V37"/>
    <mergeCell ref="X37:Z37"/>
    <mergeCell ref="AA37:AD37"/>
    <mergeCell ref="AF37:AH37"/>
    <mergeCell ref="AI37:AL37"/>
    <mergeCell ref="H38:J38"/>
    <mergeCell ref="K38:N38"/>
    <mergeCell ref="AA38:AD38"/>
    <mergeCell ref="AF38:AH38"/>
    <mergeCell ref="AI38:AL38"/>
    <mergeCell ref="O39:AL40"/>
    <mergeCell ref="X29:Z29"/>
    <mergeCell ref="AA29:AD29"/>
    <mergeCell ref="P29:R29"/>
    <mergeCell ref="P30:R30"/>
    <mergeCell ref="S30:V30"/>
    <mergeCell ref="X30:Z30"/>
    <mergeCell ref="AA30:AD30"/>
    <mergeCell ref="AF30:AH30"/>
    <mergeCell ref="AF27:AH27"/>
    <mergeCell ref="AI27:AL27"/>
    <mergeCell ref="AI28:AL28"/>
    <mergeCell ref="S29:V29"/>
    <mergeCell ref="W29:W30"/>
    <mergeCell ref="AE29:AE30"/>
    <mergeCell ref="AI29:AL29"/>
    <mergeCell ref="AI30:AL30"/>
    <mergeCell ref="J3:L3"/>
    <mergeCell ref="F6:M6"/>
    <mergeCell ref="F7:O7"/>
    <mergeCell ref="A1:AM1"/>
    <mergeCell ref="J2:L2"/>
    <mergeCell ref="M2:N2"/>
    <mergeCell ref="O2:AL2"/>
    <mergeCell ref="M3:N3"/>
    <mergeCell ref="O3:AL3"/>
    <mergeCell ref="F5:AJ5"/>
    <mergeCell ref="N6:AJ6"/>
    <mergeCell ref="F9:AJ9"/>
    <mergeCell ref="F10:AM10"/>
    <mergeCell ref="F11:AJ11"/>
    <mergeCell ref="F12:AJ12"/>
    <mergeCell ref="B13:AL13"/>
    <mergeCell ref="P14:AL14"/>
    <mergeCell ref="B14:O14"/>
    <mergeCell ref="B15:F15"/>
    <mergeCell ref="G15:G16"/>
    <mergeCell ref="K15:N15"/>
    <mergeCell ref="O15:O16"/>
    <mergeCell ref="B16:F16"/>
    <mergeCell ref="B17:F17"/>
    <mergeCell ref="B18:F18"/>
    <mergeCell ref="B19:F19"/>
    <mergeCell ref="G19:G20"/>
    <mergeCell ref="B20:F20"/>
    <mergeCell ref="B21:F21"/>
    <mergeCell ref="B22:F22"/>
    <mergeCell ref="B23:F23"/>
    <mergeCell ref="AF28:AH28"/>
    <mergeCell ref="AF29:AH29"/>
    <mergeCell ref="B24:F24"/>
    <mergeCell ref="B25:F25"/>
    <mergeCell ref="B26:F26"/>
    <mergeCell ref="B27:F27"/>
    <mergeCell ref="B28:F28"/>
    <mergeCell ref="B29:F29"/>
    <mergeCell ref="B30:F30"/>
    <mergeCell ref="X31:Z31"/>
    <mergeCell ref="X32:Z32"/>
    <mergeCell ref="B31:F31"/>
    <mergeCell ref="K31:N31"/>
    <mergeCell ref="S31:V31"/>
    <mergeCell ref="W31:W32"/>
    <mergeCell ref="AE31:AE32"/>
    <mergeCell ref="B32:F32"/>
    <mergeCell ref="B33:F33"/>
    <mergeCell ref="O33:O34"/>
    <mergeCell ref="O35:O36"/>
    <mergeCell ref="O37:O38"/>
    <mergeCell ref="O19:O20"/>
    <mergeCell ref="O21:O22"/>
    <mergeCell ref="O23:O24"/>
    <mergeCell ref="O25:O26"/>
    <mergeCell ref="O27:O28"/>
    <mergeCell ref="O29:O30"/>
    <mergeCell ref="O31:O32"/>
    <mergeCell ref="AF34:AH34"/>
    <mergeCell ref="AI34:AL34"/>
    <mergeCell ref="AF35:AH35"/>
    <mergeCell ref="AI35:AL35"/>
    <mergeCell ref="X33:Z33"/>
    <mergeCell ref="AA33:AD33"/>
    <mergeCell ref="AF33:AH33"/>
    <mergeCell ref="AI33:AL33"/>
    <mergeCell ref="X34:Z34"/>
    <mergeCell ref="AA34:AD34"/>
    <mergeCell ref="AA35:AD35"/>
    <mergeCell ref="G35:G36"/>
    <mergeCell ref="G37:G38"/>
    <mergeCell ref="G21:G22"/>
    <mergeCell ref="G23:G24"/>
    <mergeCell ref="G25:G26"/>
    <mergeCell ref="G27:G28"/>
    <mergeCell ref="G29:G30"/>
    <mergeCell ref="G31:G32"/>
    <mergeCell ref="G33:G34"/>
    <mergeCell ref="B34:F34"/>
    <mergeCell ref="B35:F35"/>
    <mergeCell ref="B36:F36"/>
    <mergeCell ref="B37:F37"/>
    <mergeCell ref="H37:J37"/>
    <mergeCell ref="K37:N37"/>
    <mergeCell ref="B38:F38"/>
    <mergeCell ref="P41:R41"/>
    <mergeCell ref="P42:R42"/>
    <mergeCell ref="X41:Z41"/>
    <mergeCell ref="X42:Z42"/>
    <mergeCell ref="B43:F43"/>
    <mergeCell ref="B44:F44"/>
    <mergeCell ref="B47:N47"/>
    <mergeCell ref="B39:F39"/>
    <mergeCell ref="B40:F40"/>
    <mergeCell ref="B41:F41"/>
    <mergeCell ref="S41:V41"/>
    <mergeCell ref="W41:W42"/>
    <mergeCell ref="B42:F42"/>
    <mergeCell ref="S42:V42"/>
    <mergeCell ref="O43:AL44"/>
    <mergeCell ref="O47:AL47"/>
    <mergeCell ref="AA41:AD41"/>
    <mergeCell ref="AE41:AE42"/>
    <mergeCell ref="AF41:AH41"/>
    <mergeCell ref="AI41:AL41"/>
    <mergeCell ref="AA42:AD42"/>
    <mergeCell ref="AF42:AH42"/>
    <mergeCell ref="AI42:AL42"/>
  </mergeCells>
  <printOptions/>
  <pageMargins bottom="0.21" footer="0.0" header="0.0" left="0.3" right="0.22" top="0.29"/>
  <pageSetup paperSize="9" orientation="portrait"/>
  <rowBreaks count="1" manualBreakCount="1">
    <brk id="47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5.29"/>
    <col customWidth="1" min="4" max="4" width="20.0"/>
    <col customWidth="1" min="6" max="6" width="4.57"/>
    <col customWidth="1" min="7" max="7" width="5.43"/>
  </cols>
  <sheetData>
    <row r="1">
      <c r="A1" s="65" t="s">
        <v>193</v>
      </c>
      <c r="B1" s="66" t="s">
        <v>194</v>
      </c>
      <c r="C1" s="65" t="s">
        <v>195</v>
      </c>
      <c r="D1" s="65" t="s">
        <v>196</v>
      </c>
      <c r="E1" s="65" t="s">
        <v>197</v>
      </c>
      <c r="F1" s="65" t="s">
        <v>194</v>
      </c>
      <c r="G1" s="65" t="s">
        <v>198</v>
      </c>
    </row>
    <row r="2">
      <c r="A2" s="65" t="s">
        <v>199</v>
      </c>
      <c r="B2" s="66" t="s">
        <v>200</v>
      </c>
      <c r="C2" s="65" t="s">
        <v>20</v>
      </c>
      <c r="D2" s="65" t="s">
        <v>21</v>
      </c>
      <c r="E2" s="67" t="str">
        <f t="shared" ref="E2:E109" si="1">A2&amp;G2</f>
        <v>A1</v>
      </c>
      <c r="F2" s="68" t="str">
        <f t="shared" ref="F2:F109" si="2">LEFT(B2, FIND("-", B2) - 1)</f>
        <v>1</v>
      </c>
      <c r="G2" s="67" t="str">
        <f>LEFT(VLOOKUP(VALUE(F2),'予選L結果'!$B$4:$L$165,11, FALSE),1)</f>
        <v>1</v>
      </c>
    </row>
    <row r="3">
      <c r="A3" s="65" t="s">
        <v>199</v>
      </c>
      <c r="B3" s="66" t="s">
        <v>201</v>
      </c>
      <c r="C3" s="65" t="s">
        <v>29</v>
      </c>
      <c r="D3" s="65" t="s">
        <v>30</v>
      </c>
      <c r="E3" s="67" t="str">
        <f t="shared" si="1"/>
        <v>A1</v>
      </c>
      <c r="F3" s="68" t="str">
        <f t="shared" si="2"/>
        <v>1</v>
      </c>
      <c r="G3" s="67" t="str">
        <f>LEFT(VLOOKUP(VALUE(F3),'予選L結果'!$B$4:$L$165,11, FALSE),1)</f>
        <v>1</v>
      </c>
    </row>
    <row r="4">
      <c r="A4" s="65" t="s">
        <v>199</v>
      </c>
      <c r="B4" s="66" t="s">
        <v>202</v>
      </c>
      <c r="C4" s="65" t="s">
        <v>22</v>
      </c>
      <c r="D4" s="65" t="s">
        <v>23</v>
      </c>
      <c r="E4" s="67" t="str">
        <f t="shared" si="1"/>
        <v>A2</v>
      </c>
      <c r="F4" s="68" t="str">
        <f t="shared" si="2"/>
        <v>2</v>
      </c>
      <c r="G4" s="67" t="str">
        <f>LEFT(VLOOKUP(VALUE(F4),'予選L結果'!$B$4:$L$165,11, FALSE),1)</f>
        <v>2</v>
      </c>
    </row>
    <row r="5">
      <c r="A5" s="65" t="s">
        <v>199</v>
      </c>
      <c r="B5" s="66" t="s">
        <v>203</v>
      </c>
      <c r="C5" s="65" t="s">
        <v>31</v>
      </c>
      <c r="D5" s="65" t="s">
        <v>32</v>
      </c>
      <c r="E5" s="67" t="str">
        <f t="shared" si="1"/>
        <v>A2</v>
      </c>
      <c r="F5" s="68" t="str">
        <f t="shared" si="2"/>
        <v>2</v>
      </c>
      <c r="G5" s="67" t="str">
        <f>LEFT(VLOOKUP(VALUE(F5),'予選L結果'!$B$4:$L$165,11, FALSE),1)</f>
        <v>2</v>
      </c>
    </row>
    <row r="6">
      <c r="A6" s="65" t="s">
        <v>199</v>
      </c>
      <c r="B6" s="66" t="s">
        <v>204</v>
      </c>
      <c r="C6" s="65" t="s">
        <v>24</v>
      </c>
      <c r="D6" s="65" t="s">
        <v>25</v>
      </c>
      <c r="E6" s="67" t="str">
        <f t="shared" si="1"/>
        <v>A3</v>
      </c>
      <c r="F6" s="68" t="str">
        <f t="shared" si="2"/>
        <v>3</v>
      </c>
      <c r="G6" s="67" t="str">
        <f>LEFT(VLOOKUP(VALUE(F6),'予選L結果'!$B$4:$L$165,11, FALSE),1)</f>
        <v>3</v>
      </c>
    </row>
    <row r="7">
      <c r="A7" s="65" t="s">
        <v>199</v>
      </c>
      <c r="B7" s="66" t="s">
        <v>205</v>
      </c>
      <c r="C7" s="65" t="s">
        <v>33</v>
      </c>
      <c r="D7" s="65" t="s">
        <v>34</v>
      </c>
      <c r="E7" s="67" t="str">
        <f t="shared" si="1"/>
        <v>A3</v>
      </c>
      <c r="F7" s="68" t="str">
        <f t="shared" si="2"/>
        <v>3</v>
      </c>
      <c r="G7" s="67" t="str">
        <f>LEFT(VLOOKUP(VALUE(F7),'予選L結果'!$B$4:$L$165,11, FALSE),1)</f>
        <v>3</v>
      </c>
    </row>
    <row r="8">
      <c r="A8" s="65" t="s">
        <v>199</v>
      </c>
      <c r="B8" s="66" t="s">
        <v>206</v>
      </c>
      <c r="C8" s="65" t="s">
        <v>26</v>
      </c>
      <c r="D8" s="65" t="s">
        <v>27</v>
      </c>
      <c r="E8" s="67" t="str">
        <f t="shared" si="1"/>
        <v>A4</v>
      </c>
      <c r="F8" s="68" t="str">
        <f t="shared" si="2"/>
        <v>4</v>
      </c>
      <c r="G8" s="67" t="str">
        <f>LEFT(VLOOKUP(VALUE(F8),'予選L結果'!$B$4:$L$165,11, FALSE),1)</f>
        <v>4</v>
      </c>
    </row>
    <row r="9">
      <c r="A9" s="65" t="s">
        <v>199</v>
      </c>
      <c r="B9" s="66" t="s">
        <v>207</v>
      </c>
      <c r="C9" s="65" t="s">
        <v>208</v>
      </c>
      <c r="D9" s="65" t="s">
        <v>36</v>
      </c>
      <c r="E9" s="67" t="str">
        <f t="shared" si="1"/>
        <v>A4</v>
      </c>
      <c r="F9" s="68" t="str">
        <f t="shared" si="2"/>
        <v>4</v>
      </c>
      <c r="G9" s="67" t="str">
        <f>LEFT(VLOOKUP(VALUE(F9),'予選L結果'!$B$4:$L$165,11, FALSE),1)</f>
        <v>4</v>
      </c>
    </row>
    <row r="10">
      <c r="A10" s="65" t="s">
        <v>209</v>
      </c>
      <c r="B10" s="66" t="s">
        <v>210</v>
      </c>
      <c r="C10" s="65" t="s">
        <v>38</v>
      </c>
      <c r="D10" s="65" t="s">
        <v>39</v>
      </c>
      <c r="E10" s="67" t="str">
        <f t="shared" si="1"/>
        <v>B1</v>
      </c>
      <c r="F10" s="68" t="str">
        <f t="shared" si="2"/>
        <v>5</v>
      </c>
      <c r="G10" s="67" t="str">
        <f>LEFT(VLOOKUP(VALUE(F10),'予選L結果'!$B$4:$L$165,11, FALSE),1)</f>
        <v>1</v>
      </c>
    </row>
    <row r="11">
      <c r="A11" s="65" t="s">
        <v>209</v>
      </c>
      <c r="B11" s="66" t="s">
        <v>211</v>
      </c>
      <c r="C11" s="65" t="s">
        <v>46</v>
      </c>
      <c r="D11" s="65" t="s">
        <v>47</v>
      </c>
      <c r="E11" s="67" t="str">
        <f t="shared" si="1"/>
        <v>B1</v>
      </c>
      <c r="F11" s="68" t="str">
        <f t="shared" si="2"/>
        <v>5</v>
      </c>
      <c r="G11" s="67" t="str">
        <f>LEFT(VLOOKUP(VALUE(F11),'予選L結果'!$B$4:$L$165,11, FALSE),1)</f>
        <v>1</v>
      </c>
    </row>
    <row r="12">
      <c r="A12" s="65" t="s">
        <v>209</v>
      </c>
      <c r="B12" s="66" t="s">
        <v>212</v>
      </c>
      <c r="C12" s="65" t="s">
        <v>40</v>
      </c>
      <c r="D12" s="65" t="s">
        <v>25</v>
      </c>
      <c r="E12" s="67" t="str">
        <f t="shared" si="1"/>
        <v>B2</v>
      </c>
      <c r="F12" s="68" t="str">
        <f t="shared" si="2"/>
        <v>6</v>
      </c>
      <c r="G12" s="67" t="str">
        <f>LEFT(VLOOKUP(VALUE(F12),'予選L結果'!$B$4:$L$165,11, FALSE),1)</f>
        <v>2</v>
      </c>
    </row>
    <row r="13">
      <c r="A13" s="65" t="s">
        <v>209</v>
      </c>
      <c r="B13" s="66" t="s">
        <v>213</v>
      </c>
      <c r="C13" s="65" t="s">
        <v>48</v>
      </c>
      <c r="D13" s="65" t="s">
        <v>25</v>
      </c>
      <c r="E13" s="67" t="str">
        <f t="shared" si="1"/>
        <v>B2</v>
      </c>
      <c r="F13" s="68" t="str">
        <f t="shared" si="2"/>
        <v>6</v>
      </c>
      <c r="G13" s="67" t="str">
        <f>LEFT(VLOOKUP(VALUE(F13),'予選L結果'!$B$4:$L$165,11, FALSE),1)</f>
        <v>2</v>
      </c>
    </row>
    <row r="14">
      <c r="A14" s="65" t="s">
        <v>209</v>
      </c>
      <c r="B14" s="66" t="s">
        <v>214</v>
      </c>
      <c r="C14" s="65" t="s">
        <v>215</v>
      </c>
      <c r="D14" s="65" t="s">
        <v>42</v>
      </c>
      <c r="E14" s="67" t="str">
        <f t="shared" si="1"/>
        <v>B3</v>
      </c>
      <c r="F14" s="68" t="str">
        <f t="shared" si="2"/>
        <v>7</v>
      </c>
      <c r="G14" s="67" t="str">
        <f>LEFT(VLOOKUP(VALUE(F14),'予選L結果'!$B$4:$L$165,11, FALSE),1)</f>
        <v>3</v>
      </c>
    </row>
    <row r="15">
      <c r="A15" s="65" t="s">
        <v>209</v>
      </c>
      <c r="B15" s="66" t="s">
        <v>216</v>
      </c>
      <c r="C15" s="65" t="s">
        <v>49</v>
      </c>
      <c r="D15" s="65" t="s">
        <v>50</v>
      </c>
      <c r="E15" s="67" t="str">
        <f t="shared" si="1"/>
        <v>B3</v>
      </c>
      <c r="F15" s="68" t="str">
        <f t="shared" si="2"/>
        <v>7</v>
      </c>
      <c r="G15" s="67" t="str">
        <f>LEFT(VLOOKUP(VALUE(F15),'予選L結果'!$B$4:$L$165,11, FALSE),1)</f>
        <v>3</v>
      </c>
    </row>
    <row r="16">
      <c r="A16" s="65" t="s">
        <v>209</v>
      </c>
      <c r="B16" s="66" t="s">
        <v>217</v>
      </c>
      <c r="C16" s="65" t="s">
        <v>43</v>
      </c>
      <c r="D16" s="65" t="s">
        <v>44</v>
      </c>
      <c r="E16" s="67" t="str">
        <f t="shared" si="1"/>
        <v>B4</v>
      </c>
      <c r="F16" s="68" t="str">
        <f t="shared" si="2"/>
        <v>8</v>
      </c>
      <c r="G16" s="67" t="str">
        <f>LEFT(VLOOKUP(VALUE(F16),'予選L結果'!$B$4:$L$165,11, FALSE),1)</f>
        <v>4</v>
      </c>
    </row>
    <row r="17">
      <c r="A17" s="65" t="s">
        <v>209</v>
      </c>
      <c r="B17" s="66" t="s">
        <v>218</v>
      </c>
      <c r="C17" s="65" t="s">
        <v>51</v>
      </c>
      <c r="D17" s="65" t="s">
        <v>30</v>
      </c>
      <c r="E17" s="67" t="str">
        <f t="shared" si="1"/>
        <v>B4</v>
      </c>
      <c r="F17" s="68" t="str">
        <f t="shared" si="2"/>
        <v>8</v>
      </c>
      <c r="G17" s="67" t="str">
        <f>LEFT(VLOOKUP(VALUE(F17),'予選L結果'!$B$4:$L$165,11, FALSE),1)</f>
        <v>4</v>
      </c>
    </row>
    <row r="18">
      <c r="A18" s="65" t="s">
        <v>219</v>
      </c>
      <c r="B18" s="66" t="s">
        <v>220</v>
      </c>
      <c r="C18" s="65" t="s">
        <v>53</v>
      </c>
      <c r="D18" s="65" t="s">
        <v>54</v>
      </c>
      <c r="E18" s="67" t="str">
        <f t="shared" si="1"/>
        <v>C1</v>
      </c>
      <c r="F18" s="68" t="str">
        <f t="shared" si="2"/>
        <v>9</v>
      </c>
      <c r="G18" s="67" t="str">
        <f>LEFT(VLOOKUP(VALUE(F18),'予選L結果'!$B$4:$L$165,11, FALSE),1)</f>
        <v>1</v>
      </c>
    </row>
    <row r="19">
      <c r="A19" s="65" t="s">
        <v>219</v>
      </c>
      <c r="B19" s="66" t="s">
        <v>221</v>
      </c>
      <c r="C19" s="65" t="s">
        <v>61</v>
      </c>
      <c r="D19" s="65" t="s">
        <v>30</v>
      </c>
      <c r="E19" s="67" t="str">
        <f t="shared" si="1"/>
        <v>C1</v>
      </c>
      <c r="F19" s="68" t="str">
        <f t="shared" si="2"/>
        <v>9</v>
      </c>
      <c r="G19" s="67" t="str">
        <f>LEFT(VLOOKUP(VALUE(F19),'予選L結果'!$B$4:$L$165,11, FALSE),1)</f>
        <v>1</v>
      </c>
    </row>
    <row r="20">
      <c r="A20" s="65" t="s">
        <v>219</v>
      </c>
      <c r="B20" s="66" t="s">
        <v>222</v>
      </c>
      <c r="C20" s="65" t="s">
        <v>55</v>
      </c>
      <c r="D20" s="65" t="s">
        <v>30</v>
      </c>
      <c r="E20" s="67" t="str">
        <f t="shared" si="1"/>
        <v>CW</v>
      </c>
      <c r="F20" s="68" t="str">
        <f t="shared" si="2"/>
        <v>10</v>
      </c>
      <c r="G20" s="67" t="str">
        <f>LEFT(VLOOKUP(VALUE(F20),'予選L結果'!$B$4:$L$165,11, FALSE),1)</f>
        <v>W</v>
      </c>
    </row>
    <row r="21">
      <c r="A21" s="65" t="s">
        <v>219</v>
      </c>
      <c r="B21" s="66" t="s">
        <v>223</v>
      </c>
      <c r="C21" s="65" t="s">
        <v>62</v>
      </c>
      <c r="D21" s="65" t="s">
        <v>30</v>
      </c>
      <c r="E21" s="67" t="str">
        <f t="shared" si="1"/>
        <v>CW</v>
      </c>
      <c r="F21" s="68" t="str">
        <f t="shared" si="2"/>
        <v>10</v>
      </c>
      <c r="G21" s="67" t="str">
        <f>LEFT(VLOOKUP(VALUE(F21),'予選L結果'!$B$4:$L$165,11, FALSE),1)</f>
        <v>W</v>
      </c>
    </row>
    <row r="22">
      <c r="A22" s="65" t="s">
        <v>219</v>
      </c>
      <c r="B22" s="66" t="s">
        <v>224</v>
      </c>
      <c r="C22" s="65" t="s">
        <v>225</v>
      </c>
      <c r="D22" s="65" t="s">
        <v>57</v>
      </c>
      <c r="E22" s="67" t="str">
        <f t="shared" si="1"/>
        <v>C2</v>
      </c>
      <c r="F22" s="68" t="str">
        <f t="shared" si="2"/>
        <v>11</v>
      </c>
      <c r="G22" s="67" t="str">
        <f>LEFT(VLOOKUP(VALUE(F22),'予選L結果'!$B$4:$L$165,11, FALSE),1)</f>
        <v>2</v>
      </c>
    </row>
    <row r="23">
      <c r="A23" s="65" t="s">
        <v>219</v>
      </c>
      <c r="B23" s="66" t="s">
        <v>226</v>
      </c>
      <c r="C23" s="65" t="s">
        <v>63</v>
      </c>
      <c r="D23" s="65" t="s">
        <v>64</v>
      </c>
      <c r="E23" s="67" t="str">
        <f t="shared" si="1"/>
        <v>C2</v>
      </c>
      <c r="F23" s="68" t="str">
        <f t="shared" si="2"/>
        <v>11</v>
      </c>
      <c r="G23" s="67" t="str">
        <f>LEFT(VLOOKUP(VALUE(F23),'予選L結果'!$B$4:$L$165,11, FALSE),1)</f>
        <v>2</v>
      </c>
    </row>
    <row r="24">
      <c r="A24" s="65" t="s">
        <v>219</v>
      </c>
      <c r="B24" s="66" t="s">
        <v>227</v>
      </c>
      <c r="C24" s="65" t="s">
        <v>58</v>
      </c>
      <c r="D24" s="65" t="s">
        <v>59</v>
      </c>
      <c r="E24" s="67" t="str">
        <f t="shared" si="1"/>
        <v>C3</v>
      </c>
      <c r="F24" s="68" t="str">
        <f t="shared" si="2"/>
        <v>12</v>
      </c>
      <c r="G24" s="67" t="str">
        <f>LEFT(VLOOKUP(VALUE(F24),'予選L結果'!$B$4:$L$165,11, FALSE),1)</f>
        <v>3</v>
      </c>
    </row>
    <row r="25">
      <c r="A25" s="65" t="s">
        <v>219</v>
      </c>
      <c r="B25" s="66" t="s">
        <v>228</v>
      </c>
      <c r="C25" s="65" t="s">
        <v>65</v>
      </c>
      <c r="D25" s="65" t="s">
        <v>30</v>
      </c>
      <c r="E25" s="67" t="str">
        <f t="shared" si="1"/>
        <v>C3</v>
      </c>
      <c r="F25" s="68" t="str">
        <f t="shared" si="2"/>
        <v>12</v>
      </c>
      <c r="G25" s="67" t="str">
        <f>LEFT(VLOOKUP(VALUE(F25),'予選L結果'!$B$4:$L$165,11, FALSE),1)</f>
        <v>3</v>
      </c>
    </row>
    <row r="26">
      <c r="A26" s="65" t="s">
        <v>229</v>
      </c>
      <c r="B26" s="66" t="s">
        <v>230</v>
      </c>
      <c r="C26" s="65" t="s">
        <v>67</v>
      </c>
      <c r="D26" s="65" t="s">
        <v>68</v>
      </c>
      <c r="E26" s="67" t="str">
        <f t="shared" si="1"/>
        <v>D1</v>
      </c>
      <c r="F26" s="68" t="str">
        <f t="shared" si="2"/>
        <v>13</v>
      </c>
      <c r="G26" s="67" t="str">
        <f>LEFT(VLOOKUP(VALUE(F26),'予選L結果'!$B$4:$L$165,11, FALSE),1)</f>
        <v>1</v>
      </c>
    </row>
    <row r="27">
      <c r="A27" s="65" t="s">
        <v>229</v>
      </c>
      <c r="B27" s="66" t="s">
        <v>231</v>
      </c>
      <c r="C27" s="65" t="s">
        <v>74</v>
      </c>
      <c r="D27" s="65" t="s">
        <v>68</v>
      </c>
      <c r="E27" s="67" t="str">
        <f t="shared" si="1"/>
        <v>D1</v>
      </c>
      <c r="F27" s="68" t="str">
        <f t="shared" si="2"/>
        <v>13</v>
      </c>
      <c r="G27" s="67" t="str">
        <f>LEFT(VLOOKUP(VALUE(F27),'予選L結果'!$B$4:$L$165,11, FALSE),1)</f>
        <v>1</v>
      </c>
    </row>
    <row r="28">
      <c r="A28" s="65" t="s">
        <v>229</v>
      </c>
      <c r="B28" s="66" t="s">
        <v>232</v>
      </c>
      <c r="C28" s="65" t="s">
        <v>233</v>
      </c>
      <c r="D28" s="65" t="s">
        <v>70</v>
      </c>
      <c r="E28" s="67" t="str">
        <f t="shared" si="1"/>
        <v>D2</v>
      </c>
      <c r="F28" s="68" t="str">
        <f t="shared" si="2"/>
        <v>14</v>
      </c>
      <c r="G28" s="67" t="str">
        <f>LEFT(VLOOKUP(VALUE(F28),'予選L結果'!$B$4:$L$165,11, FALSE),1)</f>
        <v>2</v>
      </c>
    </row>
    <row r="29">
      <c r="A29" s="65" t="s">
        <v>229</v>
      </c>
      <c r="B29" s="66" t="s">
        <v>234</v>
      </c>
      <c r="C29" s="65" t="s">
        <v>75</v>
      </c>
      <c r="D29" s="65" t="s">
        <v>50</v>
      </c>
      <c r="E29" s="67" t="str">
        <f t="shared" si="1"/>
        <v>D2</v>
      </c>
      <c r="F29" s="68" t="str">
        <f t="shared" si="2"/>
        <v>14</v>
      </c>
      <c r="G29" s="67" t="str">
        <f>LEFT(VLOOKUP(VALUE(F29),'予選L結果'!$B$4:$L$165,11, FALSE),1)</f>
        <v>2</v>
      </c>
    </row>
    <row r="30">
      <c r="A30" s="65" t="s">
        <v>229</v>
      </c>
      <c r="B30" s="66" t="s">
        <v>235</v>
      </c>
      <c r="C30" s="65" t="s">
        <v>71</v>
      </c>
      <c r="D30" s="65" t="s">
        <v>30</v>
      </c>
      <c r="E30" s="67" t="str">
        <f t="shared" si="1"/>
        <v>D3</v>
      </c>
      <c r="F30" s="68" t="str">
        <f t="shared" si="2"/>
        <v>15</v>
      </c>
      <c r="G30" s="67" t="str">
        <f>LEFT(VLOOKUP(VALUE(F30),'予選L結果'!$B$4:$L$165,11, FALSE),1)</f>
        <v>3</v>
      </c>
    </row>
    <row r="31">
      <c r="A31" s="65" t="s">
        <v>229</v>
      </c>
      <c r="B31" s="66" t="s">
        <v>236</v>
      </c>
      <c r="C31" s="65" t="s">
        <v>237</v>
      </c>
      <c r="D31" s="65" t="s">
        <v>30</v>
      </c>
      <c r="E31" s="67" t="str">
        <f t="shared" si="1"/>
        <v>D3</v>
      </c>
      <c r="F31" s="68" t="str">
        <f t="shared" si="2"/>
        <v>15</v>
      </c>
      <c r="G31" s="67" t="str">
        <f>LEFT(VLOOKUP(VALUE(F31),'予選L結果'!$B$4:$L$165,11, FALSE),1)</f>
        <v>3</v>
      </c>
    </row>
    <row r="32">
      <c r="A32" s="65" t="s">
        <v>229</v>
      </c>
      <c r="B32" s="66" t="s">
        <v>238</v>
      </c>
      <c r="C32" s="65" t="s">
        <v>72</v>
      </c>
      <c r="D32" s="65" t="s">
        <v>23</v>
      </c>
      <c r="E32" s="67" t="str">
        <f t="shared" si="1"/>
        <v>D4</v>
      </c>
      <c r="F32" s="68" t="str">
        <f t="shared" si="2"/>
        <v>16</v>
      </c>
      <c r="G32" s="67" t="str">
        <f>LEFT(VLOOKUP(VALUE(F32),'予選L結果'!$B$4:$L$165,11, FALSE),1)</f>
        <v>4</v>
      </c>
    </row>
    <row r="33">
      <c r="A33" s="65" t="s">
        <v>229</v>
      </c>
      <c r="B33" s="66" t="s">
        <v>239</v>
      </c>
      <c r="C33" s="65" t="s">
        <v>77</v>
      </c>
      <c r="D33" s="65" t="s">
        <v>78</v>
      </c>
      <c r="E33" s="67" t="str">
        <f t="shared" si="1"/>
        <v>D4</v>
      </c>
      <c r="F33" s="68" t="str">
        <f t="shared" si="2"/>
        <v>16</v>
      </c>
      <c r="G33" s="67" t="str">
        <f>LEFT(VLOOKUP(VALUE(F33),'予選L結果'!$B$4:$L$165,11, FALSE),1)</f>
        <v>4</v>
      </c>
    </row>
    <row r="34">
      <c r="A34" s="65" t="s">
        <v>240</v>
      </c>
      <c r="B34" s="66" t="s">
        <v>241</v>
      </c>
      <c r="C34" s="65" t="s">
        <v>80</v>
      </c>
      <c r="D34" s="65" t="s">
        <v>25</v>
      </c>
      <c r="E34" s="67" t="str">
        <f t="shared" si="1"/>
        <v>E1</v>
      </c>
      <c r="F34" s="68" t="str">
        <f t="shared" si="2"/>
        <v>17</v>
      </c>
      <c r="G34" s="67" t="str">
        <f>LEFT(VLOOKUP(VALUE(F34),'予選L結果'!$B$4:$L$165,11, FALSE),1)</f>
        <v>1</v>
      </c>
    </row>
    <row r="35">
      <c r="A35" s="65" t="s">
        <v>240</v>
      </c>
      <c r="B35" s="66" t="s">
        <v>242</v>
      </c>
      <c r="C35" s="65" t="s">
        <v>86</v>
      </c>
      <c r="D35" s="65" t="s">
        <v>87</v>
      </c>
      <c r="E35" s="67" t="str">
        <f t="shared" si="1"/>
        <v>E1</v>
      </c>
      <c r="F35" s="68" t="str">
        <f t="shared" si="2"/>
        <v>17</v>
      </c>
      <c r="G35" s="67" t="str">
        <f>LEFT(VLOOKUP(VALUE(F35),'予選L結果'!$B$4:$L$165,11, FALSE),1)</f>
        <v>1</v>
      </c>
    </row>
    <row r="36">
      <c r="A36" s="65" t="s">
        <v>240</v>
      </c>
      <c r="B36" s="66" t="s">
        <v>243</v>
      </c>
      <c r="C36" s="65" t="s">
        <v>81</v>
      </c>
      <c r="D36" s="65" t="s">
        <v>82</v>
      </c>
      <c r="E36" s="67" t="str">
        <f t="shared" si="1"/>
        <v>E2</v>
      </c>
      <c r="F36" s="68" t="str">
        <f t="shared" si="2"/>
        <v>18</v>
      </c>
      <c r="G36" s="67" t="str">
        <f>LEFT(VLOOKUP(VALUE(F36),'予選L結果'!$B$4:$L$165,11, FALSE),1)</f>
        <v>2</v>
      </c>
    </row>
    <row r="37">
      <c r="A37" s="65" t="s">
        <v>240</v>
      </c>
      <c r="B37" s="66" t="s">
        <v>244</v>
      </c>
      <c r="C37" s="65" t="s">
        <v>88</v>
      </c>
      <c r="D37" s="65" t="s">
        <v>27</v>
      </c>
      <c r="E37" s="67" t="str">
        <f t="shared" si="1"/>
        <v>E2</v>
      </c>
      <c r="F37" s="68" t="str">
        <f t="shared" si="2"/>
        <v>18</v>
      </c>
      <c r="G37" s="67" t="str">
        <f>LEFT(VLOOKUP(VALUE(F37),'予選L結果'!$B$4:$L$165,11, FALSE),1)</f>
        <v>2</v>
      </c>
    </row>
    <row r="38">
      <c r="A38" s="65" t="s">
        <v>240</v>
      </c>
      <c r="B38" s="66" t="s">
        <v>245</v>
      </c>
      <c r="C38" s="65" t="s">
        <v>83</v>
      </c>
      <c r="D38" s="65" t="s">
        <v>30</v>
      </c>
      <c r="E38" s="67" t="str">
        <f t="shared" si="1"/>
        <v>E3</v>
      </c>
      <c r="F38" s="68" t="str">
        <f t="shared" si="2"/>
        <v>19</v>
      </c>
      <c r="G38" s="67" t="str">
        <f>LEFT(VLOOKUP(VALUE(F38),'予選L結果'!$B$4:$L$165,11, FALSE),1)</f>
        <v>3</v>
      </c>
    </row>
    <row r="39">
      <c r="A39" s="65" t="s">
        <v>240</v>
      </c>
      <c r="B39" s="66" t="s">
        <v>246</v>
      </c>
      <c r="C39" s="65" t="s">
        <v>89</v>
      </c>
      <c r="D39" s="65" t="s">
        <v>30</v>
      </c>
      <c r="E39" s="67" t="str">
        <f t="shared" si="1"/>
        <v>E3</v>
      </c>
      <c r="F39" s="68" t="str">
        <f t="shared" si="2"/>
        <v>19</v>
      </c>
      <c r="G39" s="67" t="str">
        <f>LEFT(VLOOKUP(VALUE(F39),'予選L結果'!$B$4:$L$165,11, FALSE),1)</f>
        <v>3</v>
      </c>
    </row>
    <row r="40">
      <c r="A40" s="65" t="s">
        <v>240</v>
      </c>
      <c r="B40" s="66" t="s">
        <v>247</v>
      </c>
      <c r="C40" s="65" t="s">
        <v>84</v>
      </c>
      <c r="D40" s="65" t="s">
        <v>54</v>
      </c>
      <c r="E40" s="67" t="str">
        <f t="shared" si="1"/>
        <v>E4</v>
      </c>
      <c r="F40" s="68" t="str">
        <f t="shared" si="2"/>
        <v>20</v>
      </c>
      <c r="G40" s="67" t="str">
        <f>LEFT(VLOOKUP(VALUE(F40),'予選L結果'!$B$4:$L$165,11, FALSE),1)</f>
        <v>4</v>
      </c>
    </row>
    <row r="41">
      <c r="A41" s="65" t="s">
        <v>240</v>
      </c>
      <c r="B41" s="66" t="s">
        <v>248</v>
      </c>
      <c r="C41" s="65" t="s">
        <v>90</v>
      </c>
      <c r="D41" s="65" t="s">
        <v>54</v>
      </c>
      <c r="E41" s="67" t="str">
        <f t="shared" si="1"/>
        <v>E4</v>
      </c>
      <c r="F41" s="68" t="str">
        <f t="shared" si="2"/>
        <v>20</v>
      </c>
      <c r="G41" s="67" t="str">
        <f>LEFT(VLOOKUP(VALUE(F41),'予選L結果'!$B$4:$L$165,11, FALSE),1)</f>
        <v>4</v>
      </c>
    </row>
    <row r="42">
      <c r="A42" s="65" t="s">
        <v>249</v>
      </c>
      <c r="B42" s="66" t="s">
        <v>250</v>
      </c>
      <c r="C42" s="65" t="s">
        <v>92</v>
      </c>
      <c r="D42" s="65" t="s">
        <v>93</v>
      </c>
      <c r="E42" s="67" t="str">
        <f t="shared" si="1"/>
        <v>F1</v>
      </c>
      <c r="F42" s="68" t="str">
        <f t="shared" si="2"/>
        <v>21</v>
      </c>
      <c r="G42" s="67" t="str">
        <f>LEFT(VLOOKUP(VALUE(F42),'予選L結果'!$B$4:$L$165,11, FALSE),1)</f>
        <v>1</v>
      </c>
    </row>
    <row r="43">
      <c r="A43" s="65" t="s">
        <v>249</v>
      </c>
      <c r="B43" s="66" t="s">
        <v>251</v>
      </c>
      <c r="C43" s="65" t="s">
        <v>98</v>
      </c>
      <c r="D43" s="65" t="s">
        <v>99</v>
      </c>
      <c r="E43" s="67" t="str">
        <f t="shared" si="1"/>
        <v>F1</v>
      </c>
      <c r="F43" s="68" t="str">
        <f t="shared" si="2"/>
        <v>21</v>
      </c>
      <c r="G43" s="67" t="str">
        <f>LEFT(VLOOKUP(VALUE(F43),'予選L結果'!$B$4:$L$165,11, FALSE),1)</f>
        <v>1</v>
      </c>
    </row>
    <row r="44">
      <c r="A44" s="65" t="s">
        <v>249</v>
      </c>
      <c r="B44" s="66" t="s">
        <v>252</v>
      </c>
      <c r="C44" s="65" t="s">
        <v>253</v>
      </c>
      <c r="D44" s="65" t="s">
        <v>30</v>
      </c>
      <c r="E44" s="67" t="str">
        <f t="shared" si="1"/>
        <v>F2</v>
      </c>
      <c r="F44" s="68" t="str">
        <f t="shared" si="2"/>
        <v>22</v>
      </c>
      <c r="G44" s="67" t="str">
        <f>LEFT(VLOOKUP(VALUE(F44),'予選L結果'!$B$4:$L$165,11, FALSE),1)</f>
        <v>2</v>
      </c>
    </row>
    <row r="45">
      <c r="A45" s="65" t="s">
        <v>249</v>
      </c>
      <c r="B45" s="66" t="s">
        <v>254</v>
      </c>
      <c r="C45" s="65" t="s">
        <v>255</v>
      </c>
      <c r="D45" s="65" t="s">
        <v>30</v>
      </c>
      <c r="E45" s="67" t="str">
        <f t="shared" si="1"/>
        <v>F2</v>
      </c>
      <c r="F45" s="68" t="str">
        <f t="shared" si="2"/>
        <v>22</v>
      </c>
      <c r="G45" s="67" t="str">
        <f>LEFT(VLOOKUP(VALUE(F45),'予選L結果'!$B$4:$L$165,11, FALSE),1)</f>
        <v>2</v>
      </c>
    </row>
    <row r="46">
      <c r="A46" s="65" t="s">
        <v>249</v>
      </c>
      <c r="B46" s="66" t="s">
        <v>256</v>
      </c>
      <c r="C46" s="65" t="s">
        <v>257</v>
      </c>
      <c r="D46" s="65" t="s">
        <v>64</v>
      </c>
      <c r="E46" s="67" t="str">
        <f t="shared" si="1"/>
        <v>F3</v>
      </c>
      <c r="F46" s="68" t="str">
        <f t="shared" si="2"/>
        <v>23</v>
      </c>
      <c r="G46" s="67" t="str">
        <f>LEFT(VLOOKUP(VALUE(F46),'予選L結果'!$B$4:$L$165,11, FALSE),1)</f>
        <v>3</v>
      </c>
    </row>
    <row r="47">
      <c r="A47" s="65" t="s">
        <v>249</v>
      </c>
      <c r="B47" s="66" t="s">
        <v>258</v>
      </c>
      <c r="C47" s="65" t="s">
        <v>259</v>
      </c>
      <c r="D47" s="65" t="s">
        <v>64</v>
      </c>
      <c r="E47" s="67" t="str">
        <f t="shared" si="1"/>
        <v>F3</v>
      </c>
      <c r="F47" s="68" t="str">
        <f t="shared" si="2"/>
        <v>23</v>
      </c>
      <c r="G47" s="67" t="str">
        <f>LEFT(VLOOKUP(VALUE(F47),'予選L結果'!$B$4:$L$165,11, FALSE),1)</f>
        <v>3</v>
      </c>
    </row>
    <row r="48">
      <c r="A48" s="65" t="s">
        <v>249</v>
      </c>
      <c r="B48" s="66" t="s">
        <v>260</v>
      </c>
      <c r="C48" s="65" t="s">
        <v>96</v>
      </c>
      <c r="D48" s="65" t="s">
        <v>23</v>
      </c>
      <c r="E48" s="67" t="str">
        <f t="shared" si="1"/>
        <v>F4</v>
      </c>
      <c r="F48" s="68" t="str">
        <f t="shared" si="2"/>
        <v>24</v>
      </c>
      <c r="G48" s="67" t="str">
        <f>LEFT(VLOOKUP(VALUE(F48),'予選L結果'!$B$4:$L$165,11, FALSE),1)</f>
        <v>4</v>
      </c>
    </row>
    <row r="49">
      <c r="A49" s="65" t="s">
        <v>249</v>
      </c>
      <c r="B49" s="66" t="s">
        <v>261</v>
      </c>
      <c r="C49" s="65" t="s">
        <v>102</v>
      </c>
      <c r="D49" s="65" t="s">
        <v>30</v>
      </c>
      <c r="E49" s="67" t="str">
        <f t="shared" si="1"/>
        <v>F4</v>
      </c>
      <c r="F49" s="68" t="str">
        <f t="shared" si="2"/>
        <v>24</v>
      </c>
      <c r="G49" s="67" t="str">
        <f>LEFT(VLOOKUP(VALUE(F49),'予選L結果'!$B$4:$L$165,11, FALSE),1)</f>
        <v>4</v>
      </c>
    </row>
    <row r="50">
      <c r="A50" s="65" t="s">
        <v>262</v>
      </c>
      <c r="B50" s="66" t="s">
        <v>263</v>
      </c>
      <c r="C50" s="65" t="s">
        <v>104</v>
      </c>
      <c r="D50" s="65" t="s">
        <v>30</v>
      </c>
      <c r="E50" s="67" t="str">
        <f t="shared" si="1"/>
        <v>G1</v>
      </c>
      <c r="F50" s="68" t="str">
        <f t="shared" si="2"/>
        <v>25</v>
      </c>
      <c r="G50" s="67" t="str">
        <f>LEFT(VLOOKUP(VALUE(F50),'予選L結果'!$B$4:$L$165,11, FALSE),1)</f>
        <v>1</v>
      </c>
    </row>
    <row r="51">
      <c r="A51" s="65" t="s">
        <v>262</v>
      </c>
      <c r="B51" s="66" t="s">
        <v>264</v>
      </c>
      <c r="C51" s="65" t="s">
        <v>110</v>
      </c>
      <c r="D51" s="65" t="s">
        <v>111</v>
      </c>
      <c r="E51" s="67" t="str">
        <f t="shared" si="1"/>
        <v>G1</v>
      </c>
      <c r="F51" s="68" t="str">
        <f t="shared" si="2"/>
        <v>25</v>
      </c>
      <c r="G51" s="67" t="str">
        <f>LEFT(VLOOKUP(VALUE(F51),'予選L結果'!$B$4:$L$165,11, FALSE),1)</f>
        <v>1</v>
      </c>
    </row>
    <row r="52">
      <c r="A52" s="65" t="s">
        <v>262</v>
      </c>
      <c r="B52" s="66" t="s">
        <v>265</v>
      </c>
      <c r="C52" s="65" t="s">
        <v>105</v>
      </c>
      <c r="D52" s="65" t="s">
        <v>25</v>
      </c>
      <c r="E52" s="67" t="str">
        <f t="shared" si="1"/>
        <v>G2</v>
      </c>
      <c r="F52" s="68" t="str">
        <f t="shared" si="2"/>
        <v>26</v>
      </c>
      <c r="G52" s="67" t="str">
        <f>LEFT(VLOOKUP(VALUE(F52),'予選L結果'!$B$4:$L$165,11, FALSE),1)</f>
        <v>2</v>
      </c>
    </row>
    <row r="53">
      <c r="A53" s="65" t="s">
        <v>262</v>
      </c>
      <c r="B53" s="66" t="s">
        <v>266</v>
      </c>
      <c r="C53" s="65" t="s">
        <v>112</v>
      </c>
      <c r="D53" s="65" t="s">
        <v>25</v>
      </c>
      <c r="E53" s="67" t="str">
        <f t="shared" si="1"/>
        <v>G2</v>
      </c>
      <c r="F53" s="68" t="str">
        <f t="shared" si="2"/>
        <v>26</v>
      </c>
      <c r="G53" s="67" t="str">
        <f>LEFT(VLOOKUP(VALUE(F53),'予選L結果'!$B$4:$L$165,11, FALSE),1)</f>
        <v>2</v>
      </c>
    </row>
    <row r="54">
      <c r="A54" s="65" t="s">
        <v>262</v>
      </c>
      <c r="B54" s="66" t="s">
        <v>267</v>
      </c>
      <c r="C54" s="65" t="s">
        <v>106</v>
      </c>
      <c r="D54" s="65" t="s">
        <v>36</v>
      </c>
      <c r="E54" s="67" t="str">
        <f t="shared" si="1"/>
        <v>G3</v>
      </c>
      <c r="F54" s="68" t="str">
        <f t="shared" si="2"/>
        <v>27</v>
      </c>
      <c r="G54" s="67" t="str">
        <f>LEFT(VLOOKUP(VALUE(F54),'予選L結果'!$B$4:$L$165,11, FALSE),1)</f>
        <v>3</v>
      </c>
    </row>
    <row r="55">
      <c r="A55" s="65" t="s">
        <v>262</v>
      </c>
      <c r="B55" s="66" t="s">
        <v>268</v>
      </c>
      <c r="C55" s="65" t="s">
        <v>113</v>
      </c>
      <c r="D55" s="65" t="s">
        <v>82</v>
      </c>
      <c r="E55" s="67" t="str">
        <f t="shared" si="1"/>
        <v>G3</v>
      </c>
      <c r="F55" s="68" t="str">
        <f t="shared" si="2"/>
        <v>27</v>
      </c>
      <c r="G55" s="67" t="str">
        <f>LEFT(VLOOKUP(VALUE(F55),'予選L結果'!$B$4:$L$165,11, FALSE),1)</f>
        <v>3</v>
      </c>
    </row>
    <row r="56">
      <c r="A56" s="65" t="s">
        <v>262</v>
      </c>
      <c r="B56" s="66" t="s">
        <v>269</v>
      </c>
      <c r="C56" s="65" t="s">
        <v>107</v>
      </c>
      <c r="D56" s="65" t="s">
        <v>108</v>
      </c>
      <c r="E56" s="67" t="str">
        <f t="shared" si="1"/>
        <v>G4</v>
      </c>
      <c r="F56" s="68" t="str">
        <f t="shared" si="2"/>
        <v>28</v>
      </c>
      <c r="G56" s="67" t="str">
        <f>LEFT(VLOOKUP(VALUE(F56),'予選L結果'!$B$4:$L$165,11, FALSE),1)</f>
        <v>4</v>
      </c>
    </row>
    <row r="57">
      <c r="A57" s="65" t="s">
        <v>262</v>
      </c>
      <c r="B57" s="66" t="s">
        <v>270</v>
      </c>
      <c r="C57" s="65" t="s">
        <v>114</v>
      </c>
      <c r="D57" s="65" t="s">
        <v>44</v>
      </c>
      <c r="E57" s="67" t="str">
        <f t="shared" si="1"/>
        <v>G4</v>
      </c>
      <c r="F57" s="68" t="str">
        <f t="shared" si="2"/>
        <v>28</v>
      </c>
      <c r="G57" s="67" t="str">
        <f>LEFT(VLOOKUP(VALUE(F57),'予選L結果'!$B$4:$L$165,11, FALSE),1)</f>
        <v>4</v>
      </c>
    </row>
    <row r="58">
      <c r="A58" s="65" t="s">
        <v>271</v>
      </c>
      <c r="B58" s="66" t="s">
        <v>272</v>
      </c>
      <c r="C58" s="65" t="s">
        <v>273</v>
      </c>
      <c r="D58" s="65" t="s">
        <v>108</v>
      </c>
      <c r="E58" s="67" t="str">
        <f t="shared" si="1"/>
        <v>H1</v>
      </c>
      <c r="F58" s="68" t="str">
        <f t="shared" si="2"/>
        <v>29</v>
      </c>
      <c r="G58" s="67" t="str">
        <f>LEFT(VLOOKUP(VALUE(F58),'予選L結果'!$B$4:$L$165,11, FALSE),1)</f>
        <v>1</v>
      </c>
    </row>
    <row r="59">
      <c r="A59" s="65" t="s">
        <v>271</v>
      </c>
      <c r="B59" s="66" t="s">
        <v>274</v>
      </c>
      <c r="C59" s="65" t="s">
        <v>123</v>
      </c>
      <c r="D59" s="65" t="s">
        <v>108</v>
      </c>
      <c r="E59" s="67" t="str">
        <f t="shared" si="1"/>
        <v>H1</v>
      </c>
      <c r="F59" s="68" t="str">
        <f t="shared" si="2"/>
        <v>29</v>
      </c>
      <c r="G59" s="67" t="str">
        <f>LEFT(VLOOKUP(VALUE(F59),'予選L結果'!$B$4:$L$165,11, FALSE),1)</f>
        <v>1</v>
      </c>
    </row>
    <row r="60">
      <c r="A60" s="65" t="s">
        <v>271</v>
      </c>
      <c r="B60" s="66" t="s">
        <v>275</v>
      </c>
      <c r="C60" s="65" t="s">
        <v>117</v>
      </c>
      <c r="D60" s="65" t="s">
        <v>118</v>
      </c>
      <c r="E60" s="67" t="str">
        <f t="shared" si="1"/>
        <v>H2</v>
      </c>
      <c r="F60" s="68" t="str">
        <f t="shared" si="2"/>
        <v>30</v>
      </c>
      <c r="G60" s="67" t="str">
        <f>LEFT(VLOOKUP(VALUE(F60),'予選L結果'!$B$4:$L$165,11, FALSE),1)</f>
        <v>2</v>
      </c>
    </row>
    <row r="61">
      <c r="A61" s="65" t="s">
        <v>271</v>
      </c>
      <c r="B61" s="66" t="s">
        <v>276</v>
      </c>
      <c r="C61" s="65" t="s">
        <v>124</v>
      </c>
      <c r="D61" s="65" t="s">
        <v>87</v>
      </c>
      <c r="E61" s="67" t="str">
        <f t="shared" si="1"/>
        <v>H2</v>
      </c>
      <c r="F61" s="68" t="str">
        <f t="shared" si="2"/>
        <v>30</v>
      </c>
      <c r="G61" s="67" t="str">
        <f>LEFT(VLOOKUP(VALUE(F61),'予選L結果'!$B$4:$L$165,11, FALSE),1)</f>
        <v>2</v>
      </c>
    </row>
    <row r="62">
      <c r="A62" s="65" t="s">
        <v>271</v>
      </c>
      <c r="B62" s="66" t="s">
        <v>277</v>
      </c>
      <c r="C62" s="65" t="s">
        <v>278</v>
      </c>
      <c r="D62" s="65" t="s">
        <v>59</v>
      </c>
      <c r="E62" s="67" t="str">
        <f t="shared" si="1"/>
        <v>H3</v>
      </c>
      <c r="F62" s="68" t="str">
        <f t="shared" si="2"/>
        <v>31</v>
      </c>
      <c r="G62" s="67" t="str">
        <f>LEFT(VLOOKUP(VALUE(F62),'予選L結果'!$B$4:$L$165,11, FALSE),1)</f>
        <v>3</v>
      </c>
    </row>
    <row r="63">
      <c r="A63" s="65" t="s">
        <v>271</v>
      </c>
      <c r="B63" s="66" t="s">
        <v>279</v>
      </c>
      <c r="C63" s="65" t="s">
        <v>280</v>
      </c>
      <c r="D63" s="65" t="s">
        <v>30</v>
      </c>
      <c r="E63" s="67" t="str">
        <f t="shared" si="1"/>
        <v>H3</v>
      </c>
      <c r="F63" s="68" t="str">
        <f t="shared" si="2"/>
        <v>31</v>
      </c>
      <c r="G63" s="67" t="str">
        <f>LEFT(VLOOKUP(VALUE(F63),'予選L結果'!$B$4:$L$165,11, FALSE),1)</f>
        <v>3</v>
      </c>
    </row>
    <row r="64">
      <c r="A64" s="65" t="s">
        <v>271</v>
      </c>
      <c r="B64" s="66" t="s">
        <v>281</v>
      </c>
      <c r="C64" s="65" t="s">
        <v>120</v>
      </c>
      <c r="D64" s="65" t="s">
        <v>121</v>
      </c>
      <c r="E64" s="67" t="str">
        <f t="shared" si="1"/>
        <v>H4</v>
      </c>
      <c r="F64" s="68" t="str">
        <f t="shared" si="2"/>
        <v>32</v>
      </c>
      <c r="G64" s="67" t="str">
        <f>LEFT(VLOOKUP(VALUE(F64),'予選L結果'!$B$4:$L$165,11, FALSE),1)</f>
        <v>4</v>
      </c>
    </row>
    <row r="65">
      <c r="A65" s="65" t="s">
        <v>271</v>
      </c>
      <c r="B65" s="66" t="s">
        <v>282</v>
      </c>
      <c r="C65" s="65" t="s">
        <v>126</v>
      </c>
      <c r="D65" s="65" t="s">
        <v>121</v>
      </c>
      <c r="E65" s="67" t="str">
        <f t="shared" si="1"/>
        <v>H4</v>
      </c>
      <c r="F65" s="68" t="str">
        <f t="shared" si="2"/>
        <v>32</v>
      </c>
      <c r="G65" s="67" t="str">
        <f>LEFT(VLOOKUP(VALUE(F65),'予選L結果'!$B$4:$L$165,11, FALSE),1)</f>
        <v>4</v>
      </c>
    </row>
    <row r="66">
      <c r="A66" s="65" t="s">
        <v>283</v>
      </c>
      <c r="B66" s="66" t="s">
        <v>284</v>
      </c>
      <c r="C66" s="65" t="s">
        <v>128</v>
      </c>
      <c r="D66" s="65" t="s">
        <v>32</v>
      </c>
      <c r="E66" s="67" t="str">
        <f t="shared" si="1"/>
        <v>I 1</v>
      </c>
      <c r="F66" s="68" t="str">
        <f t="shared" si="2"/>
        <v>33</v>
      </c>
      <c r="G66" s="67" t="str">
        <f>LEFT(VLOOKUP(VALUE(F66),'予選L結果'!$B$4:$L$165,11, FALSE),1)</f>
        <v>1</v>
      </c>
    </row>
    <row r="67">
      <c r="A67" s="65" t="s">
        <v>283</v>
      </c>
      <c r="B67" s="66" t="s">
        <v>285</v>
      </c>
      <c r="C67" s="65" t="s">
        <v>133</v>
      </c>
      <c r="D67" s="65" t="s">
        <v>134</v>
      </c>
      <c r="E67" s="67" t="str">
        <f t="shared" si="1"/>
        <v>I 1</v>
      </c>
      <c r="F67" s="68" t="str">
        <f t="shared" si="2"/>
        <v>33</v>
      </c>
      <c r="G67" s="67" t="str">
        <f>LEFT(VLOOKUP(VALUE(F67),'予選L結果'!$B$4:$L$165,11, FALSE),1)</f>
        <v>1</v>
      </c>
    </row>
    <row r="68">
      <c r="A68" s="65" t="s">
        <v>283</v>
      </c>
      <c r="B68" s="66" t="s">
        <v>286</v>
      </c>
      <c r="C68" s="65" t="s">
        <v>129</v>
      </c>
      <c r="D68" s="65" t="s">
        <v>54</v>
      </c>
      <c r="E68" s="67" t="str">
        <f t="shared" si="1"/>
        <v>I 2</v>
      </c>
      <c r="F68" s="68" t="str">
        <f t="shared" si="2"/>
        <v>34</v>
      </c>
      <c r="G68" s="67" t="str">
        <f>LEFT(VLOOKUP(VALUE(F68),'予選L結果'!$B$4:$L$165,11, FALSE),1)</f>
        <v>2</v>
      </c>
    </row>
    <row r="69">
      <c r="A69" s="65" t="s">
        <v>283</v>
      </c>
      <c r="B69" s="66" t="s">
        <v>287</v>
      </c>
      <c r="C69" s="65" t="s">
        <v>135</v>
      </c>
      <c r="D69" s="65" t="s">
        <v>30</v>
      </c>
      <c r="E69" s="67" t="str">
        <f t="shared" si="1"/>
        <v>I 2</v>
      </c>
      <c r="F69" s="68" t="str">
        <f t="shared" si="2"/>
        <v>34</v>
      </c>
      <c r="G69" s="67" t="str">
        <f>LEFT(VLOOKUP(VALUE(F69),'予選L結果'!$B$4:$L$165,11, FALSE),1)</f>
        <v>2</v>
      </c>
    </row>
    <row r="70">
      <c r="A70" s="65" t="s">
        <v>283</v>
      </c>
      <c r="B70" s="66" t="s">
        <v>288</v>
      </c>
      <c r="C70" s="65" t="s">
        <v>130</v>
      </c>
      <c r="D70" s="65" t="s">
        <v>42</v>
      </c>
      <c r="E70" s="67" t="str">
        <f t="shared" si="1"/>
        <v>I 3</v>
      </c>
      <c r="F70" s="68" t="str">
        <f t="shared" si="2"/>
        <v>35</v>
      </c>
      <c r="G70" s="67" t="str">
        <f>LEFT(VLOOKUP(VALUE(F70),'予選L結果'!$B$4:$L$165,11, FALSE),1)</f>
        <v>3</v>
      </c>
    </row>
    <row r="71">
      <c r="A71" s="65" t="s">
        <v>283</v>
      </c>
      <c r="B71" s="66" t="s">
        <v>289</v>
      </c>
      <c r="C71" s="65" t="s">
        <v>290</v>
      </c>
      <c r="D71" s="65" t="s">
        <v>30</v>
      </c>
      <c r="E71" s="67" t="str">
        <f t="shared" si="1"/>
        <v>I 3</v>
      </c>
      <c r="F71" s="68" t="str">
        <f t="shared" si="2"/>
        <v>35</v>
      </c>
      <c r="G71" s="67" t="str">
        <f>LEFT(VLOOKUP(VALUE(F71),'予選L結果'!$B$4:$L$165,11, FALSE),1)</f>
        <v>3</v>
      </c>
    </row>
    <row r="72">
      <c r="A72" s="65" t="s">
        <v>283</v>
      </c>
      <c r="B72" s="66" t="s">
        <v>291</v>
      </c>
      <c r="C72" s="65" t="s">
        <v>131</v>
      </c>
      <c r="D72" s="65" t="s">
        <v>108</v>
      </c>
      <c r="E72" s="67" t="str">
        <f t="shared" si="1"/>
        <v>I 4</v>
      </c>
      <c r="F72" s="68" t="str">
        <f t="shared" si="2"/>
        <v>36</v>
      </c>
      <c r="G72" s="67" t="str">
        <f>LEFT(VLOOKUP(VALUE(F72),'予選L結果'!$B$4:$L$165,11, FALSE),1)</f>
        <v>4</v>
      </c>
    </row>
    <row r="73">
      <c r="A73" s="65" t="s">
        <v>283</v>
      </c>
      <c r="B73" s="66" t="s">
        <v>292</v>
      </c>
      <c r="C73" s="65" t="s">
        <v>137</v>
      </c>
      <c r="D73" s="65" t="s">
        <v>108</v>
      </c>
      <c r="E73" s="67" t="str">
        <f t="shared" si="1"/>
        <v>I 4</v>
      </c>
      <c r="F73" s="68" t="str">
        <f t="shared" si="2"/>
        <v>36</v>
      </c>
      <c r="G73" s="67" t="str">
        <f>LEFT(VLOOKUP(VALUE(F73),'予選L結果'!$B$4:$L$165,11, FALSE),1)</f>
        <v>4</v>
      </c>
    </row>
    <row r="74">
      <c r="A74" s="65" t="s">
        <v>293</v>
      </c>
      <c r="B74" s="66" t="s">
        <v>294</v>
      </c>
      <c r="C74" s="65" t="s">
        <v>139</v>
      </c>
      <c r="D74" s="65" t="s">
        <v>25</v>
      </c>
      <c r="E74" s="67" t="str">
        <f t="shared" si="1"/>
        <v>J1</v>
      </c>
      <c r="F74" s="68" t="str">
        <f t="shared" si="2"/>
        <v>37</v>
      </c>
      <c r="G74" s="67" t="str">
        <f>LEFT(VLOOKUP(VALUE(F74),'予選L結果'!$B$4:$L$165,11, FALSE),1)</f>
        <v>1</v>
      </c>
    </row>
    <row r="75">
      <c r="A75" s="65" t="s">
        <v>293</v>
      </c>
      <c r="B75" s="66" t="s">
        <v>295</v>
      </c>
      <c r="C75" s="65" t="s">
        <v>296</v>
      </c>
      <c r="D75" s="65" t="s">
        <v>30</v>
      </c>
      <c r="E75" s="67" t="str">
        <f t="shared" si="1"/>
        <v>J1</v>
      </c>
      <c r="F75" s="68" t="str">
        <f t="shared" si="2"/>
        <v>37</v>
      </c>
      <c r="G75" s="67" t="str">
        <f>LEFT(VLOOKUP(VALUE(F75),'予選L結果'!$B$4:$L$165,11, FALSE),1)</f>
        <v>1</v>
      </c>
    </row>
    <row r="76">
      <c r="A76" s="65" t="s">
        <v>293</v>
      </c>
      <c r="B76" s="66" t="s">
        <v>297</v>
      </c>
      <c r="C76" s="65" t="s">
        <v>298</v>
      </c>
      <c r="D76" s="65" t="s">
        <v>141</v>
      </c>
      <c r="E76" s="67" t="str">
        <f t="shared" si="1"/>
        <v>J2</v>
      </c>
      <c r="F76" s="68" t="str">
        <f t="shared" si="2"/>
        <v>38</v>
      </c>
      <c r="G76" s="67" t="str">
        <f>LEFT(VLOOKUP(VALUE(F76),'予選L結果'!$B$4:$L$165,11, FALSE),1)</f>
        <v>2</v>
      </c>
    </row>
    <row r="77">
      <c r="A77" s="65" t="s">
        <v>293</v>
      </c>
      <c r="B77" s="66" t="s">
        <v>299</v>
      </c>
      <c r="C77" s="65" t="s">
        <v>146</v>
      </c>
      <c r="D77" s="65" t="s">
        <v>30</v>
      </c>
      <c r="E77" s="67" t="str">
        <f t="shared" si="1"/>
        <v>J2</v>
      </c>
      <c r="F77" s="68" t="str">
        <f t="shared" si="2"/>
        <v>38</v>
      </c>
      <c r="G77" s="67" t="str">
        <f>LEFT(VLOOKUP(VALUE(F77),'予選L結果'!$B$4:$L$165,11, FALSE),1)</f>
        <v>2</v>
      </c>
    </row>
    <row r="78">
      <c r="A78" s="65" t="s">
        <v>293</v>
      </c>
      <c r="B78" s="66" t="s">
        <v>300</v>
      </c>
      <c r="C78" s="65" t="s">
        <v>142</v>
      </c>
      <c r="D78" s="65" t="s">
        <v>34</v>
      </c>
      <c r="E78" s="67" t="str">
        <f t="shared" si="1"/>
        <v>J3</v>
      </c>
      <c r="F78" s="68" t="str">
        <f t="shared" si="2"/>
        <v>39</v>
      </c>
      <c r="G78" s="67" t="str">
        <f>LEFT(VLOOKUP(VALUE(F78),'予選L結果'!$B$4:$L$165,11, FALSE),1)</f>
        <v>3</v>
      </c>
    </row>
    <row r="79">
      <c r="A79" s="65" t="s">
        <v>293</v>
      </c>
      <c r="B79" s="66" t="s">
        <v>301</v>
      </c>
      <c r="C79" s="65" t="s">
        <v>302</v>
      </c>
      <c r="D79" s="65" t="s">
        <v>148</v>
      </c>
      <c r="E79" s="67" t="str">
        <f t="shared" si="1"/>
        <v>J3</v>
      </c>
      <c r="F79" s="68" t="str">
        <f t="shared" si="2"/>
        <v>39</v>
      </c>
      <c r="G79" s="67" t="str">
        <f>LEFT(VLOOKUP(VALUE(F79),'予選L結果'!$B$4:$L$165,11, FALSE),1)</f>
        <v>3</v>
      </c>
    </row>
    <row r="80">
      <c r="A80" s="65" t="s">
        <v>293</v>
      </c>
      <c r="B80" s="66" t="s">
        <v>303</v>
      </c>
      <c r="C80" s="65" t="s">
        <v>143</v>
      </c>
      <c r="D80" s="65" t="s">
        <v>59</v>
      </c>
      <c r="E80" s="67" t="str">
        <f t="shared" si="1"/>
        <v>J4</v>
      </c>
      <c r="F80" s="68" t="str">
        <f t="shared" si="2"/>
        <v>40</v>
      </c>
      <c r="G80" s="67" t="str">
        <f>LEFT(VLOOKUP(VALUE(F80),'予選L結果'!$B$4:$L$165,11, FALSE),1)</f>
        <v>4</v>
      </c>
    </row>
    <row r="81">
      <c r="A81" s="65" t="s">
        <v>293</v>
      </c>
      <c r="B81" s="66" t="s">
        <v>304</v>
      </c>
      <c r="C81" s="65" t="s">
        <v>149</v>
      </c>
      <c r="D81" s="65" t="s">
        <v>50</v>
      </c>
      <c r="E81" s="67" t="str">
        <f t="shared" si="1"/>
        <v>J4</v>
      </c>
      <c r="F81" s="68" t="str">
        <f t="shared" si="2"/>
        <v>40</v>
      </c>
      <c r="G81" s="67" t="str">
        <f>LEFT(VLOOKUP(VALUE(F81),'予選L結果'!$B$4:$L$165,11, FALSE),1)</f>
        <v>4</v>
      </c>
    </row>
    <row r="82">
      <c r="A82" s="65" t="s">
        <v>305</v>
      </c>
      <c r="B82" s="66" t="s">
        <v>306</v>
      </c>
      <c r="C82" s="65" t="s">
        <v>151</v>
      </c>
      <c r="D82" s="65" t="s">
        <v>54</v>
      </c>
      <c r="E82" s="67" t="str">
        <f t="shared" si="1"/>
        <v>K1</v>
      </c>
      <c r="F82" s="68" t="str">
        <f t="shared" si="2"/>
        <v>41</v>
      </c>
      <c r="G82" s="67" t="str">
        <f>LEFT(VLOOKUP(VALUE(F82),'予選L結果'!$B$4:$L$165,11, FALSE),1)</f>
        <v>1</v>
      </c>
    </row>
    <row r="83">
      <c r="A83" s="65" t="s">
        <v>305</v>
      </c>
      <c r="B83" s="66" t="s">
        <v>307</v>
      </c>
      <c r="C83" s="65" t="s">
        <v>156</v>
      </c>
      <c r="D83" s="65" t="s">
        <v>30</v>
      </c>
      <c r="E83" s="67" t="str">
        <f t="shared" si="1"/>
        <v>K1</v>
      </c>
      <c r="F83" s="68" t="str">
        <f t="shared" si="2"/>
        <v>41</v>
      </c>
      <c r="G83" s="67" t="str">
        <f>LEFT(VLOOKUP(VALUE(F83),'予選L結果'!$B$4:$L$165,11, FALSE),1)</f>
        <v>1</v>
      </c>
    </row>
    <row r="84">
      <c r="A84" s="65" t="s">
        <v>305</v>
      </c>
      <c r="B84" s="66" t="s">
        <v>308</v>
      </c>
      <c r="C84" s="65" t="s">
        <v>152</v>
      </c>
      <c r="D84" s="65" t="s">
        <v>34</v>
      </c>
      <c r="E84" s="67" t="str">
        <f t="shared" si="1"/>
        <v>K2</v>
      </c>
      <c r="F84" s="68" t="str">
        <f t="shared" si="2"/>
        <v>42</v>
      </c>
      <c r="G84" s="67" t="str">
        <f>LEFT(VLOOKUP(VALUE(F84),'予選L結果'!$B$4:$L$165,11, FALSE),1)</f>
        <v>2</v>
      </c>
    </row>
    <row r="85">
      <c r="A85" s="65" t="s">
        <v>305</v>
      </c>
      <c r="B85" s="66" t="s">
        <v>309</v>
      </c>
      <c r="C85" s="65" t="s">
        <v>310</v>
      </c>
      <c r="D85" s="65" t="s">
        <v>30</v>
      </c>
      <c r="E85" s="67" t="str">
        <f t="shared" si="1"/>
        <v>K2</v>
      </c>
      <c r="F85" s="68" t="str">
        <f t="shared" si="2"/>
        <v>42</v>
      </c>
      <c r="G85" s="67" t="str">
        <f>LEFT(VLOOKUP(VALUE(F85),'予選L結果'!$B$4:$L$165,11, FALSE),1)</f>
        <v>2</v>
      </c>
    </row>
    <row r="86">
      <c r="A86" s="65" t="s">
        <v>305</v>
      </c>
      <c r="B86" s="66" t="s">
        <v>311</v>
      </c>
      <c r="C86" s="65" t="s">
        <v>153</v>
      </c>
      <c r="D86" s="65" t="s">
        <v>108</v>
      </c>
      <c r="E86" s="67" t="str">
        <f t="shared" si="1"/>
        <v>K3</v>
      </c>
      <c r="F86" s="68" t="str">
        <f t="shared" si="2"/>
        <v>43</v>
      </c>
      <c r="G86" s="67" t="str">
        <f>LEFT(VLOOKUP(VALUE(F86),'予選L結果'!$B$4:$L$165,11, FALSE),1)</f>
        <v>3</v>
      </c>
    </row>
    <row r="87">
      <c r="A87" s="65" t="s">
        <v>305</v>
      </c>
      <c r="B87" s="66" t="s">
        <v>312</v>
      </c>
      <c r="C87" s="65" t="s">
        <v>313</v>
      </c>
      <c r="D87" s="65" t="s">
        <v>30</v>
      </c>
      <c r="E87" s="67" t="str">
        <f t="shared" si="1"/>
        <v>K3</v>
      </c>
      <c r="F87" s="68" t="str">
        <f t="shared" si="2"/>
        <v>43</v>
      </c>
      <c r="G87" s="67" t="str">
        <f>LEFT(VLOOKUP(VALUE(F87),'予選L結果'!$B$4:$L$165,11, FALSE),1)</f>
        <v>3</v>
      </c>
    </row>
    <row r="88">
      <c r="A88" s="65" t="s">
        <v>305</v>
      </c>
      <c r="B88" s="66" t="s">
        <v>314</v>
      </c>
      <c r="C88" s="65" t="s">
        <v>154</v>
      </c>
      <c r="D88" s="65" t="s">
        <v>30</v>
      </c>
      <c r="E88" s="67" t="str">
        <f t="shared" si="1"/>
        <v>K4</v>
      </c>
      <c r="F88" s="68" t="str">
        <f t="shared" si="2"/>
        <v>44</v>
      </c>
      <c r="G88" s="67" t="str">
        <f>LEFT(VLOOKUP(VALUE(F88),'予選L結果'!$B$4:$L$165,11, FALSE),1)</f>
        <v>4</v>
      </c>
    </row>
    <row r="89">
      <c r="A89" s="65" t="s">
        <v>305</v>
      </c>
      <c r="B89" s="66" t="s">
        <v>315</v>
      </c>
      <c r="C89" s="65" t="s">
        <v>159</v>
      </c>
      <c r="D89" s="65" t="s">
        <v>160</v>
      </c>
      <c r="E89" s="67" t="str">
        <f t="shared" si="1"/>
        <v>K4</v>
      </c>
      <c r="F89" s="68" t="str">
        <f t="shared" si="2"/>
        <v>44</v>
      </c>
      <c r="G89" s="67" t="str">
        <f>LEFT(VLOOKUP(VALUE(F89),'予選L結果'!$B$4:$L$165,11, FALSE),1)</f>
        <v>4</v>
      </c>
    </row>
    <row r="90">
      <c r="A90" s="65" t="s">
        <v>316</v>
      </c>
      <c r="B90" s="66" t="s">
        <v>317</v>
      </c>
      <c r="C90" s="65" t="s">
        <v>161</v>
      </c>
      <c r="D90" s="65" t="s">
        <v>162</v>
      </c>
      <c r="E90" s="67" t="str">
        <f t="shared" si="1"/>
        <v>L1</v>
      </c>
      <c r="F90" s="68" t="str">
        <f t="shared" si="2"/>
        <v>45</v>
      </c>
      <c r="G90" s="67" t="str">
        <f>LEFT(VLOOKUP(VALUE(F90),'予選L結果(2)'!$B$4:$M$36,12, FALSE),1)</f>
        <v>1</v>
      </c>
    </row>
    <row r="91">
      <c r="A91" s="65" t="s">
        <v>316</v>
      </c>
      <c r="B91" s="66" t="s">
        <v>318</v>
      </c>
      <c r="C91" s="65" t="s">
        <v>319</v>
      </c>
      <c r="D91" s="65" t="s">
        <v>162</v>
      </c>
      <c r="E91" s="67" t="str">
        <f t="shared" si="1"/>
        <v>L1</v>
      </c>
      <c r="F91" s="68" t="str">
        <f t="shared" si="2"/>
        <v>45</v>
      </c>
      <c r="G91" s="67" t="str">
        <f>LEFT(VLOOKUP(VALUE(F91),'予選L結果(2)'!$B$4:$M$36,12, FALSE),1)</f>
        <v>1</v>
      </c>
    </row>
    <row r="92">
      <c r="A92" s="65" t="s">
        <v>316</v>
      </c>
      <c r="B92" s="66" t="s">
        <v>320</v>
      </c>
      <c r="C92" s="65" t="s">
        <v>163</v>
      </c>
      <c r="D92" s="65" t="s">
        <v>108</v>
      </c>
      <c r="E92" s="67" t="str">
        <f t="shared" si="1"/>
        <v>L2</v>
      </c>
      <c r="F92" s="68" t="str">
        <f t="shared" si="2"/>
        <v>46</v>
      </c>
      <c r="G92" s="67" t="str">
        <f>LEFT(VLOOKUP(VALUE(F92),'予選L結果(2)'!$B$4:$M$36,12, FALSE),1)</f>
        <v>2</v>
      </c>
    </row>
    <row r="93">
      <c r="A93" s="65" t="s">
        <v>316</v>
      </c>
      <c r="B93" s="66" t="s">
        <v>321</v>
      </c>
      <c r="C93" s="65" t="s">
        <v>322</v>
      </c>
      <c r="D93" s="65" t="s">
        <v>108</v>
      </c>
      <c r="E93" s="67" t="str">
        <f t="shared" si="1"/>
        <v>L2</v>
      </c>
      <c r="F93" s="68" t="str">
        <f t="shared" si="2"/>
        <v>46</v>
      </c>
      <c r="G93" s="67" t="str">
        <f>LEFT(VLOOKUP(VALUE(F93),'予選L結果(2)'!$B$4:$M$36,12, FALSE),1)</f>
        <v>2</v>
      </c>
    </row>
    <row r="94">
      <c r="A94" s="65" t="s">
        <v>316</v>
      </c>
      <c r="B94" s="66" t="s">
        <v>323</v>
      </c>
      <c r="C94" s="65" t="s">
        <v>164</v>
      </c>
      <c r="D94" s="65" t="s">
        <v>44</v>
      </c>
      <c r="E94" s="67" t="str">
        <f t="shared" si="1"/>
        <v>L3</v>
      </c>
      <c r="F94" s="68" t="str">
        <f t="shared" si="2"/>
        <v>47</v>
      </c>
      <c r="G94" s="67" t="str">
        <f>LEFT(VLOOKUP(VALUE(F94),'予選L結果(2)'!$B$4:$M$36,12, FALSE),1)</f>
        <v>3</v>
      </c>
    </row>
    <row r="95">
      <c r="A95" s="65" t="s">
        <v>316</v>
      </c>
      <c r="B95" s="66" t="s">
        <v>324</v>
      </c>
      <c r="C95" s="65" t="s">
        <v>169</v>
      </c>
      <c r="D95" s="65" t="s">
        <v>44</v>
      </c>
      <c r="E95" s="67" t="str">
        <f t="shared" si="1"/>
        <v>L3</v>
      </c>
      <c r="F95" s="68" t="str">
        <f t="shared" si="2"/>
        <v>47</v>
      </c>
      <c r="G95" s="67" t="str">
        <f>LEFT(VLOOKUP(VALUE(F95),'予選L結果(2)'!$B$4:$M$36,12, FALSE),1)</f>
        <v>3</v>
      </c>
    </row>
    <row r="96">
      <c r="A96" s="65" t="s">
        <v>316</v>
      </c>
      <c r="B96" s="66" t="s">
        <v>325</v>
      </c>
      <c r="C96" s="65" t="s">
        <v>165</v>
      </c>
      <c r="D96" s="65" t="s">
        <v>30</v>
      </c>
      <c r="E96" s="67" t="str">
        <f t="shared" si="1"/>
        <v>L4</v>
      </c>
      <c r="F96" s="68" t="str">
        <f t="shared" si="2"/>
        <v>48</v>
      </c>
      <c r="G96" s="67" t="str">
        <f>LEFT(VLOOKUP(VALUE(F96),'予選L結果(2)'!$B$4:$M$36,12, FALSE),1)</f>
        <v>4</v>
      </c>
    </row>
    <row r="97">
      <c r="A97" s="65" t="s">
        <v>316</v>
      </c>
      <c r="B97" s="66" t="s">
        <v>326</v>
      </c>
      <c r="C97" s="65" t="s">
        <v>170</v>
      </c>
      <c r="D97" s="65" t="s">
        <v>30</v>
      </c>
      <c r="E97" s="67" t="str">
        <f t="shared" si="1"/>
        <v>L4</v>
      </c>
      <c r="F97" s="68" t="str">
        <f t="shared" si="2"/>
        <v>48</v>
      </c>
      <c r="G97" s="67" t="str">
        <f>LEFT(VLOOKUP(VALUE(F97),'予選L結果(2)'!$B$4:$M$36,12, FALSE),1)</f>
        <v>4</v>
      </c>
    </row>
    <row r="98">
      <c r="A98" s="65" t="s">
        <v>316</v>
      </c>
      <c r="B98" s="66" t="s">
        <v>327</v>
      </c>
      <c r="C98" s="65" t="s">
        <v>172</v>
      </c>
      <c r="D98" s="65" t="s">
        <v>30</v>
      </c>
      <c r="E98" s="67" t="str">
        <f t="shared" si="1"/>
        <v>L5</v>
      </c>
      <c r="F98" s="68" t="str">
        <f t="shared" si="2"/>
        <v>49</v>
      </c>
      <c r="G98" s="67" t="str">
        <f>LEFT(VLOOKUP(VALUE(F98),'予選L結果(2)'!$B$4:$M$36,12, FALSE),1)</f>
        <v>5</v>
      </c>
    </row>
    <row r="99">
      <c r="A99" s="65" t="s">
        <v>316</v>
      </c>
      <c r="B99" s="66" t="s">
        <v>328</v>
      </c>
      <c r="C99" s="65" t="s">
        <v>174</v>
      </c>
      <c r="D99" s="65" t="s">
        <v>36</v>
      </c>
      <c r="E99" s="67" t="str">
        <f t="shared" si="1"/>
        <v>L5</v>
      </c>
      <c r="F99" s="68" t="str">
        <f t="shared" si="2"/>
        <v>49</v>
      </c>
      <c r="G99" s="67" t="str">
        <f>LEFT(VLOOKUP(VALUE(F99),'予選L結果(2)'!$B$4:$M$36,12, FALSE),1)</f>
        <v>5</v>
      </c>
    </row>
    <row r="100">
      <c r="A100" s="65" t="s">
        <v>329</v>
      </c>
      <c r="B100" s="66" t="s">
        <v>330</v>
      </c>
      <c r="C100" s="65" t="s">
        <v>175</v>
      </c>
      <c r="D100" s="65" t="s">
        <v>176</v>
      </c>
      <c r="E100" s="67" t="str">
        <f t="shared" si="1"/>
        <v>M1</v>
      </c>
      <c r="F100" s="68" t="str">
        <f t="shared" si="2"/>
        <v>50</v>
      </c>
      <c r="G100" s="67" t="str">
        <f>LEFT(VLOOKUP(VALUE(F100),'予選L結果(2)'!$B$4:$M$36,12, FALSE),1)</f>
        <v>1</v>
      </c>
    </row>
    <row r="101">
      <c r="A101" s="65" t="s">
        <v>329</v>
      </c>
      <c r="B101" s="66" t="s">
        <v>331</v>
      </c>
      <c r="C101" s="65" t="s">
        <v>183</v>
      </c>
      <c r="D101" s="65" t="s">
        <v>184</v>
      </c>
      <c r="E101" s="67" t="str">
        <f t="shared" si="1"/>
        <v>M1</v>
      </c>
      <c r="F101" s="68" t="str">
        <f t="shared" si="2"/>
        <v>50</v>
      </c>
      <c r="G101" s="67" t="str">
        <f>LEFT(VLOOKUP(VALUE(F101),'予選L結果(2)'!$B$4:$M$36,12, FALSE),1)</f>
        <v>1</v>
      </c>
    </row>
    <row r="102">
      <c r="A102" s="65" t="s">
        <v>329</v>
      </c>
      <c r="B102" s="66" t="s">
        <v>332</v>
      </c>
      <c r="C102" s="65" t="s">
        <v>177</v>
      </c>
      <c r="D102" s="65" t="s">
        <v>42</v>
      </c>
      <c r="E102" s="67" t="str">
        <f t="shared" si="1"/>
        <v>M2</v>
      </c>
      <c r="F102" s="68" t="str">
        <f t="shared" si="2"/>
        <v>51</v>
      </c>
      <c r="G102" s="67" t="str">
        <f>LEFT(VLOOKUP(VALUE(F102),'予選L結果(2)'!$B$4:$M$36,12, FALSE),1)</f>
        <v>2</v>
      </c>
    </row>
    <row r="103">
      <c r="A103" s="65" t="s">
        <v>329</v>
      </c>
      <c r="B103" s="66" t="s">
        <v>333</v>
      </c>
      <c r="C103" s="65" t="s">
        <v>185</v>
      </c>
      <c r="D103" s="65" t="s">
        <v>87</v>
      </c>
      <c r="E103" s="67" t="str">
        <f t="shared" si="1"/>
        <v>M2</v>
      </c>
      <c r="F103" s="68" t="str">
        <f t="shared" si="2"/>
        <v>51</v>
      </c>
      <c r="G103" s="67" t="str">
        <f>LEFT(VLOOKUP(VALUE(F103),'予選L結果(2)'!$B$4:$M$36,12, FALSE),1)</f>
        <v>2</v>
      </c>
    </row>
    <row r="104">
      <c r="A104" s="65" t="s">
        <v>329</v>
      </c>
      <c r="B104" s="66" t="s">
        <v>334</v>
      </c>
      <c r="C104" s="65" t="s">
        <v>178</v>
      </c>
      <c r="D104" s="65" t="s">
        <v>179</v>
      </c>
      <c r="E104" s="67" t="str">
        <f t="shared" si="1"/>
        <v>M3</v>
      </c>
      <c r="F104" s="68" t="str">
        <f t="shared" si="2"/>
        <v>52</v>
      </c>
      <c r="G104" s="67" t="str">
        <f>LEFT(VLOOKUP(VALUE(F104),'予選L結果(2)'!$B$4:$M$36,12, FALSE),1)</f>
        <v>3</v>
      </c>
    </row>
    <row r="105">
      <c r="A105" s="65" t="s">
        <v>329</v>
      </c>
      <c r="B105" s="66" t="s">
        <v>335</v>
      </c>
      <c r="C105" s="65" t="s">
        <v>186</v>
      </c>
      <c r="D105" s="65" t="s">
        <v>187</v>
      </c>
      <c r="E105" s="67" t="str">
        <f t="shared" si="1"/>
        <v>M3</v>
      </c>
      <c r="F105" s="68" t="str">
        <f t="shared" si="2"/>
        <v>52</v>
      </c>
      <c r="G105" s="67" t="str">
        <f>LEFT(VLOOKUP(VALUE(F105),'予選L結果(2)'!$B$4:$M$36,12, FALSE),1)</f>
        <v>3</v>
      </c>
    </row>
    <row r="106">
      <c r="A106" s="65" t="s">
        <v>329</v>
      </c>
      <c r="B106" s="66" t="s">
        <v>336</v>
      </c>
      <c r="C106" s="65" t="s">
        <v>180</v>
      </c>
      <c r="D106" s="65" t="s">
        <v>181</v>
      </c>
      <c r="E106" s="67" t="str">
        <f t="shared" si="1"/>
        <v>M5</v>
      </c>
      <c r="F106" s="68" t="str">
        <f t="shared" si="2"/>
        <v>53</v>
      </c>
      <c r="G106" s="67" t="str">
        <f>LEFT(VLOOKUP(VALUE(F106),'予選L結果(2)'!$B$4:$M$36,12, FALSE),1)</f>
        <v>5</v>
      </c>
    </row>
    <row r="107">
      <c r="A107" s="65" t="s">
        <v>329</v>
      </c>
      <c r="B107" s="66" t="s">
        <v>337</v>
      </c>
      <c r="C107" s="65" t="s">
        <v>188</v>
      </c>
      <c r="D107" s="65" t="s">
        <v>181</v>
      </c>
      <c r="E107" s="67" t="str">
        <f t="shared" si="1"/>
        <v>M5</v>
      </c>
      <c r="F107" s="68" t="str">
        <f t="shared" si="2"/>
        <v>53</v>
      </c>
      <c r="G107" s="67" t="str">
        <f>LEFT(VLOOKUP(VALUE(F107),'予選L結果(2)'!$B$4:$M$36,12, FALSE),1)</f>
        <v>5</v>
      </c>
    </row>
    <row r="108">
      <c r="A108" s="65" t="s">
        <v>329</v>
      </c>
      <c r="B108" s="66" t="s">
        <v>338</v>
      </c>
      <c r="C108" s="65" t="s">
        <v>190</v>
      </c>
      <c r="D108" s="65" t="s">
        <v>30</v>
      </c>
      <c r="E108" s="67" t="str">
        <f t="shared" si="1"/>
        <v>M4</v>
      </c>
      <c r="F108" s="68" t="str">
        <f t="shared" si="2"/>
        <v>54</v>
      </c>
      <c r="G108" s="67" t="str">
        <f>LEFT(VLOOKUP(VALUE(F108),'予選L結果(2)'!$B$4:$M$36,12, FALSE),1)</f>
        <v>4</v>
      </c>
    </row>
    <row r="109">
      <c r="A109" s="65" t="s">
        <v>329</v>
      </c>
      <c r="B109" s="66" t="s">
        <v>339</v>
      </c>
      <c r="C109" s="65" t="s">
        <v>192</v>
      </c>
      <c r="D109" s="65" t="s">
        <v>70</v>
      </c>
      <c r="E109" s="67" t="str">
        <f t="shared" si="1"/>
        <v>M4</v>
      </c>
      <c r="F109" s="68" t="str">
        <f t="shared" si="2"/>
        <v>54</v>
      </c>
      <c r="G109" s="67" t="str">
        <f>LEFT(VLOOKUP(VALUE(F109),'予選L結果(2)'!$B$4:$M$36,12, FALSE),1)</f>
        <v>4</v>
      </c>
    </row>
    <row r="110">
      <c r="B110" s="69"/>
    </row>
    <row r="111">
      <c r="B111" s="69"/>
    </row>
    <row r="112">
      <c r="B112" s="69"/>
    </row>
    <row r="113">
      <c r="B113" s="69"/>
    </row>
    <row r="114">
      <c r="B114" s="69"/>
    </row>
    <row r="115">
      <c r="B115" s="69"/>
    </row>
    <row r="116">
      <c r="B116" s="69"/>
    </row>
    <row r="117">
      <c r="B117" s="69"/>
    </row>
    <row r="118">
      <c r="B118" s="69"/>
    </row>
    <row r="119">
      <c r="B119" s="69"/>
    </row>
    <row r="120">
      <c r="B120" s="69"/>
    </row>
    <row r="121">
      <c r="B121" s="69"/>
    </row>
    <row r="122">
      <c r="B122" s="69"/>
    </row>
    <row r="123">
      <c r="B123" s="69"/>
    </row>
    <row r="124">
      <c r="B124" s="69"/>
    </row>
    <row r="125">
      <c r="B125" s="69"/>
    </row>
    <row r="126">
      <c r="B126" s="69"/>
    </row>
    <row r="127">
      <c r="B127" s="69"/>
    </row>
    <row r="128">
      <c r="B128" s="69"/>
    </row>
    <row r="129">
      <c r="B129" s="69"/>
    </row>
    <row r="130">
      <c r="B130" s="69"/>
    </row>
    <row r="131">
      <c r="B131" s="69"/>
    </row>
    <row r="132">
      <c r="B132" s="69"/>
    </row>
    <row r="133">
      <c r="B133" s="69"/>
    </row>
    <row r="134">
      <c r="B134" s="69"/>
    </row>
    <row r="135">
      <c r="B135" s="69"/>
    </row>
    <row r="136">
      <c r="B136" s="69"/>
    </row>
    <row r="137">
      <c r="B137" s="69"/>
    </row>
    <row r="138">
      <c r="B138" s="69"/>
    </row>
    <row r="139">
      <c r="B139" s="69"/>
    </row>
    <row r="140">
      <c r="B140" s="69"/>
    </row>
    <row r="141">
      <c r="B141" s="69"/>
    </row>
    <row r="142">
      <c r="B142" s="69"/>
    </row>
    <row r="143">
      <c r="B143" s="69"/>
    </row>
    <row r="144">
      <c r="B144" s="69"/>
    </row>
    <row r="145">
      <c r="B145" s="69"/>
    </row>
    <row r="146">
      <c r="B146" s="69"/>
    </row>
    <row r="147">
      <c r="B147" s="69"/>
    </row>
    <row r="148">
      <c r="B148" s="69"/>
    </row>
    <row r="149">
      <c r="B149" s="69"/>
    </row>
    <row r="150">
      <c r="B150" s="69"/>
    </row>
    <row r="151">
      <c r="B151" s="69"/>
    </row>
    <row r="152">
      <c r="B152" s="69"/>
    </row>
    <row r="153">
      <c r="B153" s="69"/>
    </row>
    <row r="154">
      <c r="B154" s="69"/>
    </row>
    <row r="155">
      <c r="B155" s="69"/>
    </row>
    <row r="156">
      <c r="B156" s="69"/>
    </row>
    <row r="157">
      <c r="B157" s="69"/>
    </row>
    <row r="158">
      <c r="B158" s="69"/>
    </row>
    <row r="159">
      <c r="B159" s="69"/>
    </row>
    <row r="160">
      <c r="B160" s="69"/>
    </row>
    <row r="161">
      <c r="B161" s="69"/>
    </row>
    <row r="162">
      <c r="B162" s="69"/>
    </row>
    <row r="163">
      <c r="B163" s="69"/>
    </row>
    <row r="164">
      <c r="B164" s="69"/>
    </row>
    <row r="165">
      <c r="B165" s="69"/>
    </row>
    <row r="166">
      <c r="B166" s="69"/>
    </row>
    <row r="167">
      <c r="B167" s="69"/>
    </row>
    <row r="168">
      <c r="B168" s="69"/>
    </row>
    <row r="169">
      <c r="B169" s="69"/>
    </row>
    <row r="170">
      <c r="B170" s="69"/>
    </row>
    <row r="171">
      <c r="B171" s="69"/>
    </row>
    <row r="172">
      <c r="B172" s="69"/>
    </row>
    <row r="173">
      <c r="B173" s="69"/>
    </row>
    <row r="174">
      <c r="B174" s="69"/>
    </row>
    <row r="175">
      <c r="B175" s="69"/>
    </row>
    <row r="176">
      <c r="B176" s="69"/>
    </row>
    <row r="177">
      <c r="B177" s="69"/>
    </row>
    <row r="178">
      <c r="B178" s="69"/>
    </row>
    <row r="179">
      <c r="B179" s="69"/>
    </row>
    <row r="180">
      <c r="B180" s="69"/>
    </row>
    <row r="181">
      <c r="B181" s="69"/>
    </row>
    <row r="182">
      <c r="B182" s="69"/>
    </row>
    <row r="183">
      <c r="B183" s="69"/>
    </row>
    <row r="184">
      <c r="B184" s="69"/>
    </row>
    <row r="185">
      <c r="B185" s="69"/>
    </row>
    <row r="186">
      <c r="B186" s="69"/>
    </row>
    <row r="187">
      <c r="B187" s="69"/>
    </row>
    <row r="188">
      <c r="B188" s="69"/>
    </row>
    <row r="189">
      <c r="B189" s="69"/>
    </row>
    <row r="190">
      <c r="B190" s="69"/>
    </row>
    <row r="191">
      <c r="B191" s="69"/>
    </row>
    <row r="192">
      <c r="B192" s="69"/>
    </row>
    <row r="193">
      <c r="B193" s="69"/>
    </row>
    <row r="194">
      <c r="B194" s="69"/>
    </row>
    <row r="195">
      <c r="B195" s="69"/>
    </row>
    <row r="196">
      <c r="B196" s="69"/>
    </row>
    <row r="197">
      <c r="B197" s="69"/>
    </row>
    <row r="198">
      <c r="B198" s="69"/>
    </row>
    <row r="199">
      <c r="B199" s="69"/>
    </row>
    <row r="200">
      <c r="B200" s="69"/>
    </row>
    <row r="201">
      <c r="B201" s="69"/>
    </row>
    <row r="202">
      <c r="B202" s="69"/>
    </row>
    <row r="203">
      <c r="B203" s="69"/>
    </row>
    <row r="204">
      <c r="B204" s="69"/>
    </row>
    <row r="205">
      <c r="B205" s="69"/>
    </row>
    <row r="206">
      <c r="B206" s="69"/>
    </row>
    <row r="207">
      <c r="B207" s="69"/>
    </row>
    <row r="208">
      <c r="B208" s="69"/>
    </row>
    <row r="209">
      <c r="B209" s="69"/>
    </row>
    <row r="210">
      <c r="B210" s="69"/>
    </row>
    <row r="211">
      <c r="B211" s="69"/>
    </row>
    <row r="212">
      <c r="B212" s="69"/>
    </row>
    <row r="213">
      <c r="B213" s="69"/>
    </row>
    <row r="214">
      <c r="B214" s="69"/>
    </row>
    <row r="215">
      <c r="B215" s="69"/>
    </row>
    <row r="216">
      <c r="B216" s="69"/>
    </row>
    <row r="217">
      <c r="B217" s="69"/>
    </row>
    <row r="218">
      <c r="B218" s="69"/>
    </row>
    <row r="219">
      <c r="B219" s="69"/>
    </row>
    <row r="220">
      <c r="B220" s="69"/>
    </row>
    <row r="221">
      <c r="B221" s="69"/>
    </row>
    <row r="222">
      <c r="B222" s="69"/>
    </row>
    <row r="223">
      <c r="B223" s="69"/>
    </row>
    <row r="224">
      <c r="B224" s="69"/>
    </row>
    <row r="225">
      <c r="B225" s="69"/>
    </row>
    <row r="226">
      <c r="B226" s="69"/>
    </row>
    <row r="227">
      <c r="B227" s="69"/>
    </row>
    <row r="228">
      <c r="B228" s="69"/>
    </row>
    <row r="229">
      <c r="B229" s="69"/>
    </row>
    <row r="230">
      <c r="B230" s="69"/>
    </row>
    <row r="231">
      <c r="B231" s="69"/>
    </row>
    <row r="232">
      <c r="B232" s="69"/>
    </row>
    <row r="233">
      <c r="B233" s="69"/>
    </row>
    <row r="234">
      <c r="B234" s="69"/>
    </row>
    <row r="235">
      <c r="B235" s="69"/>
    </row>
    <row r="236">
      <c r="B236" s="69"/>
    </row>
    <row r="237">
      <c r="B237" s="69"/>
    </row>
    <row r="238">
      <c r="B238" s="69"/>
    </row>
    <row r="239">
      <c r="B239" s="69"/>
    </row>
    <row r="240">
      <c r="B240" s="69"/>
    </row>
    <row r="241">
      <c r="B241" s="69"/>
    </row>
    <row r="242">
      <c r="B242" s="69"/>
    </row>
    <row r="243">
      <c r="B243" s="69"/>
    </row>
    <row r="244">
      <c r="B244" s="69"/>
    </row>
    <row r="245">
      <c r="B245" s="69"/>
    </row>
    <row r="246">
      <c r="B246" s="69"/>
    </row>
    <row r="247">
      <c r="B247" s="69"/>
    </row>
    <row r="248">
      <c r="B248" s="69"/>
    </row>
    <row r="249">
      <c r="B249" s="69"/>
    </row>
    <row r="250">
      <c r="B250" s="69"/>
    </row>
    <row r="251">
      <c r="B251" s="69"/>
    </row>
    <row r="252">
      <c r="B252" s="69"/>
    </row>
    <row r="253">
      <c r="B253" s="69"/>
    </row>
    <row r="254">
      <c r="B254" s="69"/>
    </row>
    <row r="255">
      <c r="B255" s="69"/>
    </row>
    <row r="256">
      <c r="B256" s="69"/>
    </row>
    <row r="257">
      <c r="B257" s="69"/>
    </row>
    <row r="258">
      <c r="B258" s="69"/>
    </row>
    <row r="259">
      <c r="B259" s="69"/>
    </row>
    <row r="260">
      <c r="B260" s="69"/>
    </row>
    <row r="261">
      <c r="B261" s="69"/>
    </row>
    <row r="262">
      <c r="B262" s="69"/>
    </row>
    <row r="263">
      <c r="B263" s="69"/>
    </row>
    <row r="264">
      <c r="B264" s="69"/>
    </row>
    <row r="265">
      <c r="B265" s="69"/>
    </row>
    <row r="266">
      <c r="B266" s="69"/>
    </row>
    <row r="267">
      <c r="B267" s="69"/>
    </row>
    <row r="268">
      <c r="B268" s="69"/>
    </row>
    <row r="269">
      <c r="B269" s="69"/>
    </row>
    <row r="270">
      <c r="B270" s="69"/>
    </row>
    <row r="271">
      <c r="B271" s="69"/>
    </row>
    <row r="272">
      <c r="B272" s="69"/>
    </row>
    <row r="273">
      <c r="B273" s="69"/>
    </row>
    <row r="274">
      <c r="B274" s="69"/>
    </row>
    <row r="275">
      <c r="B275" s="69"/>
    </row>
    <row r="276">
      <c r="B276" s="69"/>
    </row>
    <row r="277">
      <c r="B277" s="69"/>
    </row>
    <row r="278">
      <c r="B278" s="69"/>
    </row>
    <row r="279">
      <c r="B279" s="69"/>
    </row>
    <row r="280">
      <c r="B280" s="69"/>
    </row>
    <row r="281">
      <c r="B281" s="69"/>
    </row>
    <row r="282">
      <c r="B282" s="69"/>
    </row>
    <row r="283">
      <c r="B283" s="69"/>
    </row>
    <row r="284">
      <c r="B284" s="69"/>
    </row>
    <row r="285">
      <c r="B285" s="69"/>
    </row>
    <row r="286">
      <c r="B286" s="69"/>
    </row>
    <row r="287">
      <c r="B287" s="69"/>
    </row>
    <row r="288">
      <c r="B288" s="69"/>
    </row>
    <row r="289">
      <c r="B289" s="69"/>
    </row>
    <row r="290">
      <c r="B290" s="69"/>
    </row>
    <row r="291">
      <c r="B291" s="69"/>
    </row>
    <row r="292">
      <c r="B292" s="69"/>
    </row>
    <row r="293">
      <c r="B293" s="69"/>
    </row>
    <row r="294">
      <c r="B294" s="69"/>
    </row>
    <row r="295">
      <c r="B295" s="69"/>
    </row>
    <row r="296">
      <c r="B296" s="69"/>
    </row>
    <row r="297">
      <c r="B297" s="69"/>
    </row>
    <row r="298">
      <c r="B298" s="69"/>
    </row>
    <row r="299">
      <c r="B299" s="69"/>
    </row>
    <row r="300">
      <c r="B300" s="69"/>
    </row>
    <row r="301">
      <c r="B301" s="69"/>
    </row>
    <row r="302">
      <c r="B302" s="69"/>
    </row>
    <row r="303">
      <c r="B303" s="69"/>
    </row>
    <row r="304">
      <c r="B304" s="69"/>
    </row>
    <row r="305">
      <c r="B305" s="69"/>
    </row>
    <row r="306">
      <c r="B306" s="69"/>
    </row>
    <row r="307">
      <c r="B307" s="69"/>
    </row>
    <row r="308">
      <c r="B308" s="69"/>
    </row>
    <row r="309">
      <c r="B309" s="69"/>
    </row>
    <row r="310">
      <c r="B310" s="69"/>
    </row>
    <row r="311">
      <c r="B311" s="69"/>
    </row>
    <row r="312">
      <c r="B312" s="69"/>
    </row>
    <row r="313">
      <c r="B313" s="69"/>
    </row>
    <row r="314">
      <c r="B314" s="69"/>
    </row>
    <row r="315">
      <c r="B315" s="69"/>
    </row>
    <row r="316">
      <c r="B316" s="69"/>
    </row>
    <row r="317">
      <c r="B317" s="69"/>
    </row>
    <row r="318">
      <c r="B318" s="69"/>
    </row>
    <row r="319">
      <c r="B319" s="69"/>
    </row>
    <row r="320">
      <c r="B320" s="69"/>
    </row>
    <row r="321">
      <c r="B321" s="69"/>
    </row>
    <row r="322">
      <c r="B322" s="69"/>
    </row>
    <row r="323">
      <c r="B323" s="69"/>
    </row>
    <row r="324">
      <c r="B324" s="69"/>
    </row>
    <row r="325">
      <c r="B325" s="69"/>
    </row>
    <row r="326">
      <c r="B326" s="69"/>
    </row>
    <row r="327">
      <c r="B327" s="69"/>
    </row>
    <row r="328">
      <c r="B328" s="69"/>
    </row>
    <row r="329">
      <c r="B329" s="69"/>
    </row>
    <row r="330">
      <c r="B330" s="69"/>
    </row>
    <row r="331">
      <c r="B331" s="69"/>
    </row>
    <row r="332">
      <c r="B332" s="69"/>
    </row>
    <row r="333">
      <c r="B333" s="69"/>
    </row>
    <row r="334">
      <c r="B334" s="69"/>
    </row>
    <row r="335">
      <c r="B335" s="69"/>
    </row>
    <row r="336">
      <c r="B336" s="69"/>
    </row>
    <row r="337">
      <c r="B337" s="69"/>
    </row>
    <row r="338">
      <c r="B338" s="69"/>
    </row>
    <row r="339">
      <c r="B339" s="69"/>
    </row>
    <row r="340">
      <c r="B340" s="69"/>
    </row>
    <row r="341">
      <c r="B341" s="69"/>
    </row>
    <row r="342">
      <c r="B342" s="69"/>
    </row>
    <row r="343">
      <c r="B343" s="69"/>
    </row>
    <row r="344">
      <c r="B344" s="69"/>
    </row>
    <row r="345">
      <c r="B345" s="69"/>
    </row>
    <row r="346">
      <c r="B346" s="69"/>
    </row>
    <row r="347">
      <c r="B347" s="69"/>
    </row>
    <row r="348">
      <c r="B348" s="69"/>
    </row>
    <row r="349">
      <c r="B349" s="69"/>
    </row>
    <row r="350">
      <c r="B350" s="69"/>
    </row>
    <row r="351">
      <c r="B351" s="69"/>
    </row>
    <row r="352">
      <c r="B352" s="69"/>
    </row>
    <row r="353">
      <c r="B353" s="69"/>
    </row>
    <row r="354">
      <c r="B354" s="69"/>
    </row>
    <row r="355">
      <c r="B355" s="69"/>
    </row>
    <row r="356">
      <c r="B356" s="69"/>
    </row>
    <row r="357">
      <c r="B357" s="69"/>
    </row>
    <row r="358">
      <c r="B358" s="69"/>
    </row>
    <row r="359">
      <c r="B359" s="69"/>
    </row>
    <row r="360">
      <c r="B360" s="69"/>
    </row>
    <row r="361">
      <c r="B361" s="69"/>
    </row>
    <row r="362">
      <c r="B362" s="69"/>
    </row>
    <row r="363">
      <c r="B363" s="69"/>
    </row>
    <row r="364">
      <c r="B364" s="69"/>
    </row>
    <row r="365">
      <c r="B365" s="69"/>
    </row>
    <row r="366">
      <c r="B366" s="69"/>
    </row>
    <row r="367">
      <c r="B367" s="69"/>
    </row>
    <row r="368">
      <c r="B368" s="69"/>
    </row>
    <row r="369">
      <c r="B369" s="69"/>
    </row>
    <row r="370">
      <c r="B370" s="69"/>
    </row>
    <row r="371">
      <c r="B371" s="69"/>
    </row>
    <row r="372">
      <c r="B372" s="69"/>
    </row>
    <row r="373">
      <c r="B373" s="69"/>
    </row>
    <row r="374">
      <c r="B374" s="69"/>
    </row>
    <row r="375">
      <c r="B375" s="69"/>
    </row>
    <row r="376">
      <c r="B376" s="69"/>
    </row>
    <row r="377">
      <c r="B377" s="69"/>
    </row>
    <row r="378">
      <c r="B378" s="69"/>
    </row>
    <row r="379">
      <c r="B379" s="69"/>
    </row>
    <row r="380">
      <c r="B380" s="69"/>
    </row>
    <row r="381">
      <c r="B381" s="69"/>
    </row>
    <row r="382">
      <c r="B382" s="69"/>
    </row>
    <row r="383">
      <c r="B383" s="69"/>
    </row>
    <row r="384">
      <c r="B384" s="69"/>
    </row>
    <row r="385">
      <c r="B385" s="69"/>
    </row>
    <row r="386">
      <c r="B386" s="69"/>
    </row>
    <row r="387">
      <c r="B387" s="69"/>
    </row>
    <row r="388">
      <c r="B388" s="69"/>
    </row>
    <row r="389">
      <c r="B389" s="69"/>
    </row>
    <row r="390">
      <c r="B390" s="69"/>
    </row>
    <row r="391">
      <c r="B391" s="69"/>
    </row>
    <row r="392">
      <c r="B392" s="69"/>
    </row>
    <row r="393">
      <c r="B393" s="69"/>
    </row>
    <row r="394">
      <c r="B394" s="69"/>
    </row>
    <row r="395">
      <c r="B395" s="69"/>
    </row>
    <row r="396">
      <c r="B396" s="69"/>
    </row>
    <row r="397">
      <c r="B397" s="69"/>
    </row>
    <row r="398">
      <c r="B398" s="69"/>
    </row>
    <row r="399">
      <c r="B399" s="69"/>
    </row>
    <row r="400">
      <c r="B400" s="69"/>
    </row>
    <row r="401">
      <c r="B401" s="69"/>
    </row>
    <row r="402">
      <c r="B402" s="69"/>
    </row>
    <row r="403">
      <c r="B403" s="69"/>
    </row>
    <row r="404">
      <c r="B404" s="69"/>
    </row>
    <row r="405">
      <c r="B405" s="69"/>
    </row>
    <row r="406">
      <c r="B406" s="69"/>
    </row>
    <row r="407">
      <c r="B407" s="69"/>
    </row>
    <row r="408">
      <c r="B408" s="69"/>
    </row>
    <row r="409">
      <c r="B409" s="69"/>
    </row>
    <row r="410">
      <c r="B410" s="69"/>
    </row>
    <row r="411">
      <c r="B411" s="69"/>
    </row>
    <row r="412">
      <c r="B412" s="69"/>
    </row>
    <row r="413">
      <c r="B413" s="69"/>
    </row>
    <row r="414">
      <c r="B414" s="69"/>
    </row>
    <row r="415">
      <c r="B415" s="69"/>
    </row>
    <row r="416">
      <c r="B416" s="69"/>
    </row>
    <row r="417">
      <c r="B417" s="69"/>
    </row>
    <row r="418">
      <c r="B418" s="69"/>
    </row>
    <row r="419">
      <c r="B419" s="69"/>
    </row>
    <row r="420">
      <c r="B420" s="69"/>
    </row>
    <row r="421">
      <c r="B421" s="69"/>
    </row>
    <row r="422">
      <c r="B422" s="69"/>
    </row>
    <row r="423">
      <c r="B423" s="69"/>
    </row>
    <row r="424">
      <c r="B424" s="69"/>
    </row>
    <row r="425">
      <c r="B425" s="69"/>
    </row>
    <row r="426">
      <c r="B426" s="69"/>
    </row>
    <row r="427">
      <c r="B427" s="69"/>
    </row>
    <row r="428">
      <c r="B428" s="69"/>
    </row>
    <row r="429">
      <c r="B429" s="69"/>
    </row>
    <row r="430">
      <c r="B430" s="69"/>
    </row>
    <row r="431">
      <c r="B431" s="69"/>
    </row>
    <row r="432">
      <c r="B432" s="69"/>
    </row>
    <row r="433">
      <c r="B433" s="69"/>
    </row>
    <row r="434">
      <c r="B434" s="69"/>
    </row>
    <row r="435">
      <c r="B435" s="69"/>
    </row>
    <row r="436">
      <c r="B436" s="69"/>
    </row>
    <row r="437">
      <c r="B437" s="69"/>
    </row>
    <row r="438">
      <c r="B438" s="69"/>
    </row>
    <row r="439">
      <c r="B439" s="69"/>
    </row>
    <row r="440">
      <c r="B440" s="69"/>
    </row>
    <row r="441">
      <c r="B441" s="69"/>
    </row>
    <row r="442">
      <c r="B442" s="69"/>
    </row>
    <row r="443">
      <c r="B443" s="69"/>
    </row>
    <row r="444">
      <c r="B444" s="69"/>
    </row>
    <row r="445">
      <c r="B445" s="69"/>
    </row>
    <row r="446">
      <c r="B446" s="69"/>
    </row>
    <row r="447">
      <c r="B447" s="69"/>
    </row>
    <row r="448">
      <c r="B448" s="69"/>
    </row>
    <row r="449">
      <c r="B449" s="69"/>
    </row>
    <row r="450">
      <c r="B450" s="69"/>
    </row>
    <row r="451">
      <c r="B451" s="69"/>
    </row>
    <row r="452">
      <c r="B452" s="69"/>
    </row>
    <row r="453">
      <c r="B453" s="69"/>
    </row>
    <row r="454">
      <c r="B454" s="69"/>
    </row>
    <row r="455">
      <c r="B455" s="69"/>
    </row>
    <row r="456">
      <c r="B456" s="69"/>
    </row>
    <row r="457">
      <c r="B457" s="69"/>
    </row>
    <row r="458">
      <c r="B458" s="69"/>
    </row>
    <row r="459">
      <c r="B459" s="69"/>
    </row>
    <row r="460">
      <c r="B460" s="69"/>
    </row>
    <row r="461">
      <c r="B461" s="69"/>
    </row>
    <row r="462">
      <c r="B462" s="69"/>
    </row>
    <row r="463">
      <c r="B463" s="69"/>
    </row>
    <row r="464">
      <c r="B464" s="69"/>
    </row>
    <row r="465">
      <c r="B465" s="69"/>
    </row>
    <row r="466">
      <c r="B466" s="69"/>
    </row>
    <row r="467">
      <c r="B467" s="69"/>
    </row>
    <row r="468">
      <c r="B468" s="69"/>
    </row>
    <row r="469">
      <c r="B469" s="69"/>
    </row>
    <row r="470">
      <c r="B470" s="69"/>
    </row>
    <row r="471">
      <c r="B471" s="69"/>
    </row>
    <row r="472">
      <c r="B472" s="69"/>
    </row>
    <row r="473">
      <c r="B473" s="69"/>
    </row>
    <row r="474">
      <c r="B474" s="69"/>
    </row>
    <row r="475">
      <c r="B475" s="69"/>
    </row>
    <row r="476">
      <c r="B476" s="69"/>
    </row>
    <row r="477">
      <c r="B477" s="69"/>
    </row>
    <row r="478">
      <c r="B478" s="69"/>
    </row>
    <row r="479">
      <c r="B479" s="69"/>
    </row>
    <row r="480">
      <c r="B480" s="69"/>
    </row>
    <row r="481">
      <c r="B481" s="69"/>
    </row>
    <row r="482">
      <c r="B482" s="69"/>
    </row>
    <row r="483">
      <c r="B483" s="69"/>
    </row>
    <row r="484">
      <c r="B484" s="69"/>
    </row>
    <row r="485">
      <c r="B485" s="69"/>
    </row>
    <row r="486">
      <c r="B486" s="69"/>
    </row>
    <row r="487">
      <c r="B487" s="69"/>
    </row>
    <row r="488">
      <c r="B488" s="69"/>
    </row>
    <row r="489">
      <c r="B489" s="69"/>
    </row>
    <row r="490">
      <c r="B490" s="69"/>
    </row>
    <row r="491">
      <c r="B491" s="69"/>
    </row>
    <row r="492">
      <c r="B492" s="69"/>
    </row>
    <row r="493">
      <c r="B493" s="69"/>
    </row>
    <row r="494">
      <c r="B494" s="69"/>
    </row>
    <row r="495">
      <c r="B495" s="69"/>
    </row>
    <row r="496">
      <c r="B496" s="69"/>
    </row>
    <row r="497">
      <c r="B497" s="69"/>
    </row>
    <row r="498">
      <c r="B498" s="69"/>
    </row>
    <row r="499">
      <c r="B499" s="69"/>
    </row>
    <row r="500">
      <c r="B500" s="69"/>
    </row>
    <row r="501">
      <c r="B501" s="69"/>
    </row>
    <row r="502">
      <c r="B502" s="69"/>
    </row>
    <row r="503">
      <c r="B503" s="69"/>
    </row>
    <row r="504">
      <c r="B504" s="69"/>
    </row>
    <row r="505">
      <c r="B505" s="69"/>
    </row>
    <row r="506">
      <c r="B506" s="69"/>
    </row>
    <row r="507">
      <c r="B507" s="69"/>
    </row>
    <row r="508">
      <c r="B508" s="69"/>
    </row>
    <row r="509">
      <c r="B509" s="69"/>
    </row>
    <row r="510">
      <c r="B510" s="69"/>
    </row>
    <row r="511">
      <c r="B511" s="69"/>
    </row>
    <row r="512">
      <c r="B512" s="69"/>
    </row>
    <row r="513">
      <c r="B513" s="69"/>
    </row>
    <row r="514">
      <c r="B514" s="69"/>
    </row>
    <row r="515">
      <c r="B515" s="69"/>
    </row>
    <row r="516">
      <c r="B516" s="69"/>
    </row>
    <row r="517">
      <c r="B517" s="69"/>
    </row>
    <row r="518">
      <c r="B518" s="69"/>
    </row>
    <row r="519">
      <c r="B519" s="69"/>
    </row>
    <row r="520">
      <c r="B520" s="69"/>
    </row>
    <row r="521">
      <c r="B521" s="69"/>
    </row>
    <row r="522">
      <c r="B522" s="69"/>
    </row>
    <row r="523">
      <c r="B523" s="69"/>
    </row>
    <row r="524">
      <c r="B524" s="69"/>
    </row>
    <row r="525">
      <c r="B525" s="69"/>
    </row>
    <row r="526">
      <c r="B526" s="69"/>
    </row>
    <row r="527">
      <c r="B527" s="69"/>
    </row>
    <row r="528">
      <c r="B528" s="69"/>
    </row>
    <row r="529">
      <c r="B529" s="69"/>
    </row>
    <row r="530">
      <c r="B530" s="69"/>
    </row>
    <row r="531">
      <c r="B531" s="69"/>
    </row>
    <row r="532">
      <c r="B532" s="69"/>
    </row>
    <row r="533">
      <c r="B533" s="69"/>
    </row>
    <row r="534">
      <c r="B534" s="69"/>
    </row>
    <row r="535">
      <c r="B535" s="69"/>
    </row>
    <row r="536">
      <c r="B536" s="69"/>
    </row>
    <row r="537">
      <c r="B537" s="69"/>
    </row>
    <row r="538">
      <c r="B538" s="69"/>
    </row>
    <row r="539">
      <c r="B539" s="69"/>
    </row>
    <row r="540">
      <c r="B540" s="69"/>
    </row>
    <row r="541">
      <c r="B541" s="69"/>
    </row>
    <row r="542">
      <c r="B542" s="69"/>
    </row>
    <row r="543">
      <c r="B543" s="69"/>
    </row>
    <row r="544">
      <c r="B544" s="69"/>
    </row>
    <row r="545">
      <c r="B545" s="69"/>
    </row>
    <row r="546">
      <c r="B546" s="69"/>
    </row>
    <row r="547">
      <c r="B547" s="69"/>
    </row>
    <row r="548">
      <c r="B548" s="69"/>
    </row>
    <row r="549">
      <c r="B549" s="69"/>
    </row>
    <row r="550">
      <c r="B550" s="69"/>
    </row>
    <row r="551">
      <c r="B551" s="69"/>
    </row>
    <row r="552">
      <c r="B552" s="69"/>
    </row>
    <row r="553">
      <c r="B553" s="69"/>
    </row>
    <row r="554">
      <c r="B554" s="69"/>
    </row>
    <row r="555">
      <c r="B555" s="69"/>
    </row>
    <row r="556">
      <c r="B556" s="69"/>
    </row>
    <row r="557">
      <c r="B557" s="69"/>
    </row>
    <row r="558">
      <c r="B558" s="69"/>
    </row>
    <row r="559">
      <c r="B559" s="69"/>
    </row>
    <row r="560">
      <c r="B560" s="69"/>
    </row>
    <row r="561">
      <c r="B561" s="69"/>
    </row>
    <row r="562">
      <c r="B562" s="69"/>
    </row>
    <row r="563">
      <c r="B563" s="69"/>
    </row>
    <row r="564">
      <c r="B564" s="69"/>
    </row>
    <row r="565">
      <c r="B565" s="69"/>
    </row>
    <row r="566">
      <c r="B566" s="69"/>
    </row>
    <row r="567">
      <c r="B567" s="69"/>
    </row>
    <row r="568">
      <c r="B568" s="69"/>
    </row>
    <row r="569">
      <c r="B569" s="69"/>
    </row>
    <row r="570">
      <c r="B570" s="69"/>
    </row>
    <row r="571">
      <c r="B571" s="69"/>
    </row>
    <row r="572">
      <c r="B572" s="69"/>
    </row>
    <row r="573">
      <c r="B573" s="69"/>
    </row>
    <row r="574">
      <c r="B574" s="69"/>
    </row>
    <row r="575">
      <c r="B575" s="69"/>
    </row>
    <row r="576">
      <c r="B576" s="69"/>
    </row>
    <row r="577">
      <c r="B577" s="69"/>
    </row>
    <row r="578">
      <c r="B578" s="69"/>
    </row>
    <row r="579">
      <c r="B579" s="69"/>
    </row>
    <row r="580">
      <c r="B580" s="69"/>
    </row>
    <row r="581">
      <c r="B581" s="69"/>
    </row>
    <row r="582">
      <c r="B582" s="69"/>
    </row>
    <row r="583">
      <c r="B583" s="69"/>
    </row>
    <row r="584">
      <c r="B584" s="69"/>
    </row>
    <row r="585">
      <c r="B585" s="69"/>
    </row>
    <row r="586">
      <c r="B586" s="69"/>
    </row>
    <row r="587">
      <c r="B587" s="69"/>
    </row>
    <row r="588">
      <c r="B588" s="69"/>
    </row>
    <row r="589">
      <c r="B589" s="69"/>
    </row>
    <row r="590">
      <c r="B590" s="69"/>
    </row>
    <row r="591">
      <c r="B591" s="69"/>
    </row>
    <row r="592">
      <c r="B592" s="69"/>
    </row>
    <row r="593">
      <c r="B593" s="69"/>
    </row>
    <row r="594">
      <c r="B594" s="69"/>
    </row>
    <row r="595">
      <c r="B595" s="69"/>
    </row>
    <row r="596">
      <c r="B596" s="69"/>
    </row>
    <row r="597">
      <c r="B597" s="69"/>
    </row>
    <row r="598">
      <c r="B598" s="69"/>
    </row>
    <row r="599">
      <c r="B599" s="69"/>
    </row>
    <row r="600">
      <c r="B600" s="69"/>
    </row>
    <row r="601">
      <c r="B601" s="69"/>
    </row>
    <row r="602">
      <c r="B602" s="69"/>
    </row>
    <row r="603">
      <c r="B603" s="69"/>
    </row>
    <row r="604">
      <c r="B604" s="69"/>
    </row>
    <row r="605">
      <c r="B605" s="69"/>
    </row>
    <row r="606">
      <c r="B606" s="69"/>
    </row>
    <row r="607">
      <c r="B607" s="69"/>
    </row>
    <row r="608">
      <c r="B608" s="69"/>
    </row>
    <row r="609">
      <c r="B609" s="69"/>
    </row>
    <row r="610">
      <c r="B610" s="69"/>
    </row>
    <row r="611">
      <c r="B611" s="69"/>
    </row>
    <row r="612">
      <c r="B612" s="69"/>
    </row>
    <row r="613">
      <c r="B613" s="69"/>
    </row>
    <row r="614">
      <c r="B614" s="69"/>
    </row>
    <row r="615">
      <c r="B615" s="69"/>
    </row>
    <row r="616">
      <c r="B616" s="69"/>
    </row>
    <row r="617">
      <c r="B617" s="69"/>
    </row>
    <row r="618">
      <c r="B618" s="69"/>
    </row>
    <row r="619">
      <c r="B619" s="69"/>
    </row>
    <row r="620">
      <c r="B620" s="69"/>
    </row>
    <row r="621">
      <c r="B621" s="69"/>
    </row>
    <row r="622">
      <c r="B622" s="69"/>
    </row>
    <row r="623">
      <c r="B623" s="69"/>
    </row>
    <row r="624">
      <c r="B624" s="69"/>
    </row>
    <row r="625">
      <c r="B625" s="69"/>
    </row>
    <row r="626">
      <c r="B626" s="69"/>
    </row>
    <row r="627">
      <c r="B627" s="69"/>
    </row>
    <row r="628">
      <c r="B628" s="69"/>
    </row>
    <row r="629">
      <c r="B629" s="69"/>
    </row>
    <row r="630">
      <c r="B630" s="69"/>
    </row>
    <row r="631">
      <c r="B631" s="69"/>
    </row>
    <row r="632">
      <c r="B632" s="69"/>
    </row>
    <row r="633">
      <c r="B633" s="69"/>
    </row>
    <row r="634">
      <c r="B634" s="69"/>
    </row>
    <row r="635">
      <c r="B635" s="69"/>
    </row>
    <row r="636">
      <c r="B636" s="69"/>
    </row>
    <row r="637">
      <c r="B637" s="69"/>
    </row>
    <row r="638">
      <c r="B638" s="69"/>
    </row>
    <row r="639">
      <c r="B639" s="69"/>
    </row>
    <row r="640">
      <c r="B640" s="69"/>
    </row>
    <row r="641">
      <c r="B641" s="69"/>
    </row>
    <row r="642">
      <c r="B642" s="69"/>
    </row>
    <row r="643">
      <c r="B643" s="69"/>
    </row>
    <row r="644">
      <c r="B644" s="69"/>
    </row>
    <row r="645">
      <c r="B645" s="69"/>
    </row>
    <row r="646">
      <c r="B646" s="69"/>
    </row>
    <row r="647">
      <c r="B647" s="69"/>
    </row>
    <row r="648">
      <c r="B648" s="69"/>
    </row>
    <row r="649">
      <c r="B649" s="69"/>
    </row>
    <row r="650">
      <c r="B650" s="69"/>
    </row>
    <row r="651">
      <c r="B651" s="69"/>
    </row>
    <row r="652">
      <c r="B652" s="69"/>
    </row>
    <row r="653">
      <c r="B653" s="69"/>
    </row>
    <row r="654">
      <c r="B654" s="69"/>
    </row>
    <row r="655">
      <c r="B655" s="69"/>
    </row>
    <row r="656">
      <c r="B656" s="69"/>
    </row>
    <row r="657">
      <c r="B657" s="69"/>
    </row>
    <row r="658">
      <c r="B658" s="69"/>
    </row>
    <row r="659">
      <c r="B659" s="69"/>
    </row>
    <row r="660">
      <c r="B660" s="69"/>
    </row>
    <row r="661">
      <c r="B661" s="69"/>
    </row>
    <row r="662">
      <c r="B662" s="69"/>
    </row>
    <row r="663">
      <c r="B663" s="69"/>
    </row>
    <row r="664">
      <c r="B664" s="69"/>
    </row>
    <row r="665">
      <c r="B665" s="69"/>
    </row>
    <row r="666">
      <c r="B666" s="69"/>
    </row>
    <row r="667">
      <c r="B667" s="69"/>
    </row>
    <row r="668">
      <c r="B668" s="69"/>
    </row>
    <row r="669">
      <c r="B669" s="69"/>
    </row>
    <row r="670">
      <c r="B670" s="69"/>
    </row>
    <row r="671">
      <c r="B671" s="69"/>
    </row>
    <row r="672">
      <c r="B672" s="69"/>
    </row>
    <row r="673">
      <c r="B673" s="69"/>
    </row>
    <row r="674">
      <c r="B674" s="69"/>
    </row>
    <row r="675">
      <c r="B675" s="69"/>
    </row>
    <row r="676">
      <c r="B676" s="69"/>
    </row>
    <row r="677">
      <c r="B677" s="69"/>
    </row>
    <row r="678">
      <c r="B678" s="69"/>
    </row>
    <row r="679">
      <c r="B679" s="69"/>
    </row>
    <row r="680">
      <c r="B680" s="69"/>
    </row>
    <row r="681">
      <c r="B681" s="69"/>
    </row>
    <row r="682">
      <c r="B682" s="69"/>
    </row>
    <row r="683">
      <c r="B683" s="69"/>
    </row>
    <row r="684">
      <c r="B684" s="69"/>
    </row>
    <row r="685">
      <c r="B685" s="69"/>
    </row>
    <row r="686">
      <c r="B686" s="69"/>
    </row>
    <row r="687">
      <c r="B687" s="69"/>
    </row>
    <row r="688">
      <c r="B688" s="69"/>
    </row>
    <row r="689">
      <c r="B689" s="69"/>
    </row>
    <row r="690">
      <c r="B690" s="69"/>
    </row>
    <row r="691">
      <c r="B691" s="69"/>
    </row>
    <row r="692">
      <c r="B692" s="69"/>
    </row>
    <row r="693">
      <c r="B693" s="69"/>
    </row>
    <row r="694">
      <c r="B694" s="69"/>
    </row>
    <row r="695">
      <c r="B695" s="69"/>
    </row>
    <row r="696">
      <c r="B696" s="69"/>
    </row>
    <row r="697">
      <c r="B697" s="69"/>
    </row>
    <row r="698">
      <c r="B698" s="69"/>
    </row>
    <row r="699">
      <c r="B699" s="69"/>
    </row>
    <row r="700">
      <c r="B700" s="69"/>
    </row>
    <row r="701">
      <c r="B701" s="69"/>
    </row>
    <row r="702">
      <c r="B702" s="69"/>
    </row>
    <row r="703">
      <c r="B703" s="69"/>
    </row>
    <row r="704">
      <c r="B704" s="69"/>
    </row>
    <row r="705">
      <c r="B705" s="69"/>
    </row>
    <row r="706">
      <c r="B706" s="69"/>
    </row>
    <row r="707">
      <c r="B707" s="69"/>
    </row>
    <row r="708">
      <c r="B708" s="69"/>
    </row>
    <row r="709">
      <c r="B709" s="69"/>
    </row>
    <row r="710">
      <c r="B710" s="69"/>
    </row>
    <row r="711">
      <c r="B711" s="69"/>
    </row>
    <row r="712">
      <c r="B712" s="69"/>
    </row>
    <row r="713">
      <c r="B713" s="69"/>
    </row>
    <row r="714">
      <c r="B714" s="69"/>
    </row>
    <row r="715">
      <c r="B715" s="69"/>
    </row>
    <row r="716">
      <c r="B716" s="69"/>
    </row>
    <row r="717">
      <c r="B717" s="69"/>
    </row>
    <row r="718">
      <c r="B718" s="69"/>
    </row>
    <row r="719">
      <c r="B719" s="69"/>
    </row>
    <row r="720">
      <c r="B720" s="69"/>
    </row>
    <row r="721">
      <c r="B721" s="69"/>
    </row>
    <row r="722">
      <c r="B722" s="69"/>
    </row>
    <row r="723">
      <c r="B723" s="69"/>
    </row>
    <row r="724">
      <c r="B724" s="69"/>
    </row>
    <row r="725">
      <c r="B725" s="69"/>
    </row>
    <row r="726">
      <c r="B726" s="69"/>
    </row>
    <row r="727">
      <c r="B727" s="69"/>
    </row>
    <row r="728">
      <c r="B728" s="69"/>
    </row>
    <row r="729">
      <c r="B729" s="69"/>
    </row>
    <row r="730">
      <c r="B730" s="69"/>
    </row>
    <row r="731">
      <c r="B731" s="69"/>
    </row>
    <row r="732">
      <c r="B732" s="69"/>
    </row>
    <row r="733">
      <c r="B733" s="69"/>
    </row>
    <row r="734">
      <c r="B734" s="69"/>
    </row>
    <row r="735">
      <c r="B735" s="69"/>
    </row>
    <row r="736">
      <c r="B736" s="69"/>
    </row>
    <row r="737">
      <c r="B737" s="69"/>
    </row>
    <row r="738">
      <c r="B738" s="69"/>
    </row>
    <row r="739">
      <c r="B739" s="69"/>
    </row>
    <row r="740">
      <c r="B740" s="69"/>
    </row>
    <row r="741">
      <c r="B741" s="69"/>
    </row>
    <row r="742">
      <c r="B742" s="69"/>
    </row>
    <row r="743">
      <c r="B743" s="69"/>
    </row>
    <row r="744">
      <c r="B744" s="69"/>
    </row>
    <row r="745">
      <c r="B745" s="69"/>
    </row>
    <row r="746">
      <c r="B746" s="69"/>
    </row>
    <row r="747">
      <c r="B747" s="69"/>
    </row>
    <row r="748">
      <c r="B748" s="69"/>
    </row>
    <row r="749">
      <c r="B749" s="69"/>
    </row>
    <row r="750">
      <c r="B750" s="69"/>
    </row>
    <row r="751">
      <c r="B751" s="69"/>
    </row>
    <row r="752">
      <c r="B752" s="69"/>
    </row>
    <row r="753">
      <c r="B753" s="69"/>
    </row>
    <row r="754">
      <c r="B754" s="69"/>
    </row>
    <row r="755">
      <c r="B755" s="69"/>
    </row>
    <row r="756">
      <c r="B756" s="69"/>
    </row>
    <row r="757">
      <c r="B757" s="69"/>
    </row>
    <row r="758">
      <c r="B758" s="69"/>
    </row>
    <row r="759">
      <c r="B759" s="69"/>
    </row>
    <row r="760">
      <c r="B760" s="69"/>
    </row>
    <row r="761">
      <c r="B761" s="69"/>
    </row>
    <row r="762">
      <c r="B762" s="69"/>
    </row>
    <row r="763">
      <c r="B763" s="69"/>
    </row>
    <row r="764">
      <c r="B764" s="69"/>
    </row>
    <row r="765">
      <c r="B765" s="69"/>
    </row>
    <row r="766">
      <c r="B766" s="69"/>
    </row>
    <row r="767">
      <c r="B767" s="69"/>
    </row>
    <row r="768">
      <c r="B768" s="69"/>
    </row>
    <row r="769">
      <c r="B769" s="69"/>
    </row>
    <row r="770">
      <c r="B770" s="69"/>
    </row>
    <row r="771">
      <c r="B771" s="69"/>
    </row>
    <row r="772">
      <c r="B772" s="69"/>
    </row>
    <row r="773">
      <c r="B773" s="69"/>
    </row>
    <row r="774">
      <c r="B774" s="69"/>
    </row>
    <row r="775">
      <c r="B775" s="69"/>
    </row>
    <row r="776">
      <c r="B776" s="69"/>
    </row>
    <row r="777">
      <c r="B777" s="69"/>
    </row>
    <row r="778">
      <c r="B778" s="69"/>
    </row>
    <row r="779">
      <c r="B779" s="69"/>
    </row>
    <row r="780">
      <c r="B780" s="69"/>
    </row>
    <row r="781">
      <c r="B781" s="69"/>
    </row>
    <row r="782">
      <c r="B782" s="69"/>
    </row>
    <row r="783">
      <c r="B783" s="69"/>
    </row>
    <row r="784">
      <c r="B784" s="69"/>
    </row>
    <row r="785">
      <c r="B785" s="69"/>
    </row>
    <row r="786">
      <c r="B786" s="69"/>
    </row>
    <row r="787">
      <c r="B787" s="69"/>
    </row>
    <row r="788">
      <c r="B788" s="69"/>
    </row>
    <row r="789">
      <c r="B789" s="69"/>
    </row>
    <row r="790">
      <c r="B790" s="69"/>
    </row>
    <row r="791">
      <c r="B791" s="69"/>
    </row>
    <row r="792">
      <c r="B792" s="69"/>
    </row>
    <row r="793">
      <c r="B793" s="69"/>
    </row>
    <row r="794">
      <c r="B794" s="69"/>
    </row>
    <row r="795">
      <c r="B795" s="69"/>
    </row>
    <row r="796">
      <c r="B796" s="69"/>
    </row>
    <row r="797">
      <c r="B797" s="69"/>
    </row>
    <row r="798">
      <c r="B798" s="69"/>
    </row>
    <row r="799">
      <c r="B799" s="69"/>
    </row>
    <row r="800">
      <c r="B800" s="69"/>
    </row>
    <row r="801">
      <c r="B801" s="69"/>
    </row>
    <row r="802">
      <c r="B802" s="69"/>
    </row>
    <row r="803">
      <c r="B803" s="69"/>
    </row>
    <row r="804">
      <c r="B804" s="69"/>
    </row>
    <row r="805">
      <c r="B805" s="69"/>
    </row>
    <row r="806">
      <c r="B806" s="69"/>
    </row>
    <row r="807">
      <c r="B807" s="69"/>
    </row>
    <row r="808">
      <c r="B808" s="69"/>
    </row>
    <row r="809">
      <c r="B809" s="69"/>
    </row>
    <row r="810">
      <c r="B810" s="69"/>
    </row>
    <row r="811">
      <c r="B811" s="69"/>
    </row>
    <row r="812">
      <c r="B812" s="69"/>
    </row>
    <row r="813">
      <c r="B813" s="69"/>
    </row>
    <row r="814">
      <c r="B814" s="69"/>
    </row>
    <row r="815">
      <c r="B815" s="69"/>
    </row>
    <row r="816">
      <c r="B816" s="69"/>
    </row>
    <row r="817">
      <c r="B817" s="69"/>
    </row>
    <row r="818">
      <c r="B818" s="69"/>
    </row>
    <row r="819">
      <c r="B819" s="69"/>
    </row>
    <row r="820">
      <c r="B820" s="69"/>
    </row>
    <row r="821">
      <c r="B821" s="69"/>
    </row>
    <row r="822">
      <c r="B822" s="69"/>
    </row>
    <row r="823">
      <c r="B823" s="69"/>
    </row>
    <row r="824">
      <c r="B824" s="69"/>
    </row>
    <row r="825">
      <c r="B825" s="69"/>
    </row>
    <row r="826">
      <c r="B826" s="69"/>
    </row>
    <row r="827">
      <c r="B827" s="69"/>
    </row>
    <row r="828">
      <c r="B828" s="69"/>
    </row>
    <row r="829">
      <c r="B829" s="69"/>
    </row>
    <row r="830">
      <c r="B830" s="69"/>
    </row>
    <row r="831">
      <c r="B831" s="69"/>
    </row>
    <row r="832">
      <c r="B832" s="69"/>
    </row>
    <row r="833">
      <c r="B833" s="69"/>
    </row>
    <row r="834">
      <c r="B834" s="69"/>
    </row>
    <row r="835">
      <c r="B835" s="69"/>
    </row>
    <row r="836">
      <c r="B836" s="69"/>
    </row>
    <row r="837">
      <c r="B837" s="69"/>
    </row>
    <row r="838">
      <c r="B838" s="69"/>
    </row>
    <row r="839">
      <c r="B839" s="69"/>
    </row>
    <row r="840">
      <c r="B840" s="69"/>
    </row>
    <row r="841">
      <c r="B841" s="69"/>
    </row>
    <row r="842">
      <c r="B842" s="69"/>
    </row>
    <row r="843">
      <c r="B843" s="69"/>
    </row>
    <row r="844">
      <c r="B844" s="69"/>
    </row>
    <row r="845">
      <c r="B845" s="69"/>
    </row>
    <row r="846">
      <c r="B846" s="69"/>
    </row>
    <row r="847">
      <c r="B847" s="69"/>
    </row>
    <row r="848">
      <c r="B848" s="69"/>
    </row>
    <row r="849">
      <c r="B849" s="69"/>
    </row>
    <row r="850">
      <c r="B850" s="69"/>
    </row>
    <row r="851">
      <c r="B851" s="69"/>
    </row>
    <row r="852">
      <c r="B852" s="69"/>
    </row>
    <row r="853">
      <c r="B853" s="69"/>
    </row>
    <row r="854">
      <c r="B854" s="69"/>
    </row>
    <row r="855">
      <c r="B855" s="69"/>
    </row>
    <row r="856">
      <c r="B856" s="69"/>
    </row>
    <row r="857">
      <c r="B857" s="69"/>
    </row>
    <row r="858">
      <c r="B858" s="69"/>
    </row>
    <row r="859">
      <c r="B859" s="69"/>
    </row>
    <row r="860">
      <c r="B860" s="69"/>
    </row>
    <row r="861">
      <c r="B861" s="69"/>
    </row>
    <row r="862">
      <c r="B862" s="69"/>
    </row>
    <row r="863">
      <c r="B863" s="69"/>
    </row>
    <row r="864">
      <c r="B864" s="69"/>
    </row>
    <row r="865">
      <c r="B865" s="69"/>
    </row>
    <row r="866">
      <c r="B866" s="69"/>
    </row>
    <row r="867">
      <c r="B867" s="69"/>
    </row>
    <row r="868">
      <c r="B868" s="69"/>
    </row>
    <row r="869">
      <c r="B869" s="69"/>
    </row>
    <row r="870">
      <c r="B870" s="69"/>
    </row>
    <row r="871">
      <c r="B871" s="69"/>
    </row>
    <row r="872">
      <c r="B872" s="69"/>
    </row>
    <row r="873">
      <c r="B873" s="69"/>
    </row>
    <row r="874">
      <c r="B874" s="69"/>
    </row>
    <row r="875">
      <c r="B875" s="69"/>
    </row>
    <row r="876">
      <c r="B876" s="69"/>
    </row>
    <row r="877">
      <c r="B877" s="69"/>
    </row>
    <row r="878">
      <c r="B878" s="69"/>
    </row>
    <row r="879">
      <c r="B879" s="69"/>
    </row>
    <row r="880">
      <c r="B880" s="69"/>
    </row>
    <row r="881">
      <c r="B881" s="69"/>
    </row>
    <row r="882">
      <c r="B882" s="69"/>
    </row>
    <row r="883">
      <c r="B883" s="69"/>
    </row>
    <row r="884">
      <c r="B884" s="69"/>
    </row>
    <row r="885">
      <c r="B885" s="69"/>
    </row>
    <row r="886">
      <c r="B886" s="69"/>
    </row>
    <row r="887">
      <c r="B887" s="69"/>
    </row>
    <row r="888">
      <c r="B888" s="69"/>
    </row>
    <row r="889">
      <c r="B889" s="69"/>
    </row>
    <row r="890">
      <c r="B890" s="69"/>
    </row>
    <row r="891">
      <c r="B891" s="69"/>
    </row>
    <row r="892">
      <c r="B892" s="69"/>
    </row>
    <row r="893">
      <c r="B893" s="69"/>
    </row>
    <row r="894">
      <c r="B894" s="69"/>
    </row>
    <row r="895">
      <c r="B895" s="69"/>
    </row>
    <row r="896">
      <c r="B896" s="69"/>
    </row>
    <row r="897">
      <c r="B897" s="69"/>
    </row>
    <row r="898">
      <c r="B898" s="69"/>
    </row>
    <row r="899">
      <c r="B899" s="69"/>
    </row>
    <row r="900">
      <c r="B900" s="69"/>
    </row>
    <row r="901">
      <c r="B901" s="69"/>
    </row>
    <row r="902">
      <c r="B902" s="69"/>
    </row>
    <row r="903">
      <c r="B903" s="69"/>
    </row>
    <row r="904">
      <c r="B904" s="69"/>
    </row>
    <row r="905">
      <c r="B905" s="69"/>
    </row>
    <row r="906">
      <c r="B906" s="69"/>
    </row>
    <row r="907">
      <c r="B907" s="69"/>
    </row>
    <row r="908">
      <c r="B908" s="69"/>
    </row>
    <row r="909">
      <c r="B909" s="69"/>
    </row>
    <row r="910">
      <c r="B910" s="69"/>
    </row>
    <row r="911">
      <c r="B911" s="69"/>
    </row>
    <row r="912">
      <c r="B912" s="69"/>
    </row>
    <row r="913">
      <c r="B913" s="69"/>
    </row>
    <row r="914">
      <c r="B914" s="69"/>
    </row>
    <row r="915">
      <c r="B915" s="69"/>
    </row>
    <row r="916">
      <c r="B916" s="69"/>
    </row>
    <row r="917">
      <c r="B917" s="69"/>
    </row>
    <row r="918">
      <c r="B918" s="69"/>
    </row>
    <row r="919">
      <c r="B919" s="69"/>
    </row>
    <row r="920">
      <c r="B920" s="69"/>
    </row>
    <row r="921">
      <c r="B921" s="69"/>
    </row>
    <row r="922">
      <c r="B922" s="69"/>
    </row>
    <row r="923">
      <c r="B923" s="69"/>
    </row>
    <row r="924">
      <c r="B924" s="69"/>
    </row>
    <row r="925">
      <c r="B925" s="69"/>
    </row>
    <row r="926">
      <c r="B926" s="69"/>
    </row>
    <row r="927">
      <c r="B927" s="69"/>
    </row>
    <row r="928">
      <c r="B928" s="69"/>
    </row>
    <row r="929">
      <c r="B929" s="69"/>
    </row>
    <row r="930">
      <c r="B930" s="69"/>
    </row>
    <row r="931">
      <c r="B931" s="69"/>
    </row>
    <row r="932">
      <c r="B932" s="69"/>
    </row>
    <row r="933">
      <c r="B933" s="69"/>
    </row>
    <row r="934">
      <c r="B934" s="69"/>
    </row>
    <row r="935">
      <c r="B935" s="69"/>
    </row>
    <row r="936">
      <c r="B936" s="69"/>
    </row>
    <row r="937">
      <c r="B937" s="69"/>
    </row>
    <row r="938">
      <c r="B938" s="69"/>
    </row>
    <row r="939">
      <c r="B939" s="69"/>
    </row>
    <row r="940">
      <c r="B940" s="69"/>
    </row>
    <row r="941">
      <c r="B941" s="69"/>
    </row>
    <row r="942">
      <c r="B942" s="69"/>
    </row>
    <row r="943">
      <c r="B943" s="69"/>
    </row>
    <row r="944">
      <c r="B944" s="69"/>
    </row>
    <row r="945">
      <c r="B945" s="69"/>
    </row>
    <row r="946">
      <c r="B946" s="69"/>
    </row>
    <row r="947">
      <c r="B947" s="69"/>
    </row>
    <row r="948">
      <c r="B948" s="69"/>
    </row>
    <row r="949">
      <c r="B949" s="69"/>
    </row>
    <row r="950">
      <c r="B950" s="69"/>
    </row>
    <row r="951">
      <c r="B951" s="69"/>
    </row>
    <row r="952">
      <c r="B952" s="69"/>
    </row>
    <row r="953">
      <c r="B953" s="69"/>
    </row>
    <row r="954">
      <c r="B954" s="69"/>
    </row>
    <row r="955">
      <c r="B955" s="69"/>
    </row>
    <row r="956">
      <c r="B956" s="69"/>
    </row>
    <row r="957">
      <c r="B957" s="69"/>
    </row>
    <row r="958">
      <c r="B958" s="69"/>
    </row>
    <row r="959">
      <c r="B959" s="69"/>
    </row>
    <row r="960">
      <c r="B960" s="69"/>
    </row>
    <row r="961">
      <c r="B961" s="69"/>
    </row>
    <row r="962">
      <c r="B962" s="69"/>
    </row>
    <row r="963">
      <c r="B963" s="69"/>
    </row>
    <row r="964">
      <c r="B964" s="69"/>
    </row>
    <row r="965">
      <c r="B965" s="69"/>
    </row>
    <row r="966">
      <c r="B966" s="69"/>
    </row>
    <row r="967">
      <c r="B967" s="69"/>
    </row>
    <row r="968">
      <c r="B968" s="69"/>
    </row>
    <row r="969">
      <c r="B969" s="69"/>
    </row>
    <row r="970">
      <c r="B970" s="69"/>
    </row>
    <row r="971">
      <c r="B971" s="69"/>
    </row>
    <row r="972">
      <c r="B972" s="69"/>
    </row>
    <row r="973">
      <c r="B973" s="69"/>
    </row>
    <row r="974">
      <c r="B974" s="69"/>
    </row>
    <row r="975">
      <c r="B975" s="69"/>
    </row>
    <row r="976">
      <c r="B976" s="69"/>
    </row>
    <row r="977">
      <c r="B977" s="69"/>
    </row>
    <row r="978">
      <c r="B978" s="69"/>
    </row>
    <row r="979">
      <c r="B979" s="69"/>
    </row>
    <row r="980">
      <c r="B980" s="69"/>
    </row>
    <row r="981">
      <c r="B981" s="69"/>
    </row>
    <row r="982">
      <c r="B982" s="69"/>
    </row>
    <row r="983">
      <c r="B983" s="69"/>
    </row>
    <row r="984">
      <c r="B984" s="69"/>
    </row>
    <row r="985">
      <c r="B985" s="69"/>
    </row>
    <row r="986">
      <c r="B986" s="69"/>
    </row>
    <row r="987">
      <c r="B987" s="69"/>
    </row>
    <row r="988">
      <c r="B988" s="69"/>
    </row>
    <row r="989">
      <c r="B989" s="69"/>
    </row>
    <row r="990">
      <c r="B990" s="69"/>
    </row>
    <row r="991">
      <c r="B991" s="69"/>
    </row>
    <row r="992">
      <c r="B992" s="69"/>
    </row>
    <row r="993">
      <c r="B993" s="69"/>
    </row>
    <row r="994">
      <c r="B994" s="69"/>
    </row>
    <row r="995">
      <c r="B995" s="69"/>
    </row>
    <row r="996">
      <c r="B996" s="69"/>
    </row>
    <row r="997">
      <c r="B997" s="69"/>
    </row>
    <row r="998">
      <c r="B998" s="69"/>
    </row>
    <row r="999">
      <c r="B999" s="69"/>
    </row>
    <row r="1000">
      <c r="B1000" s="6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3.71"/>
    <col customWidth="1" min="3" max="3" width="8.43"/>
    <col customWidth="1" min="4" max="4" width="0.43"/>
    <col customWidth="1" min="5" max="5" width="8.29"/>
    <col customWidth="1" min="6" max="6" width="15.43"/>
    <col customWidth="1" min="7" max="10" width="15.14"/>
    <col customWidth="1" min="11" max="11" width="10.71"/>
    <col customWidth="1" min="12" max="12" width="8.29"/>
    <col customWidth="1" min="13" max="13" width="4.0"/>
    <col customWidth="1" min="14" max="14" width="9.71"/>
    <col customWidth="1" min="15" max="18" width="9.29"/>
    <col customWidth="1" min="19" max="19" width="3.0"/>
  </cols>
  <sheetData>
    <row r="1">
      <c r="A1" s="70"/>
      <c r="B1" s="71"/>
      <c r="C1" s="70"/>
      <c r="D1" s="70"/>
      <c r="E1" s="70"/>
      <c r="F1" s="72"/>
      <c r="G1" s="73"/>
      <c r="H1" s="73"/>
      <c r="I1" s="73"/>
      <c r="J1" s="73"/>
      <c r="K1" s="70"/>
      <c r="L1" s="70"/>
      <c r="M1" s="70"/>
      <c r="N1" s="70"/>
      <c r="O1" s="70"/>
      <c r="P1" s="70"/>
      <c r="Q1" s="70"/>
      <c r="R1" s="70"/>
      <c r="S1" s="70"/>
    </row>
    <row r="2" ht="32.25" customHeight="1">
      <c r="A2" s="70"/>
      <c r="B2" s="74" t="s">
        <v>199</v>
      </c>
      <c r="D2" s="70"/>
      <c r="E2" s="75" t="s">
        <v>193</v>
      </c>
      <c r="F2" s="72"/>
      <c r="G2" s="73"/>
      <c r="H2" s="73"/>
      <c r="I2" s="76" t="str">
        <f>TRIM('予選'!$A$1)</f>
        <v>　 　　　　　 サンプル</v>
      </c>
      <c r="M2" s="70"/>
      <c r="N2" s="70"/>
      <c r="O2" s="70"/>
      <c r="P2" s="70"/>
      <c r="Q2" s="70"/>
      <c r="R2" s="70"/>
      <c r="S2" s="70"/>
    </row>
    <row r="3">
      <c r="A3" s="70"/>
      <c r="B3" s="77" t="s">
        <v>340</v>
      </c>
      <c r="C3" s="78"/>
      <c r="D3" s="78"/>
      <c r="E3" s="78"/>
      <c r="F3" s="79"/>
      <c r="G3" s="80" t="str">
        <f>LEFT(C4, FIND(" ", C4 &amp; " ") - 1) &amp; "・" &amp; LEFT(C6, FIND(" ", C6 &amp; " ") - 1)
</f>
        <v>藤田・山根</v>
      </c>
      <c r="H3" s="80" t="str">
        <f>LEFT(C7, FIND(" ", C7 &amp; " ") - 1) &amp; "・" &amp; LEFT(C9, FIND(" ", C9 &amp; " ") - 1)
</f>
        <v>岸本・三浦</v>
      </c>
      <c r="I3" s="80" t="str">
        <f>LEFT(C10, FIND(" ", C10 &amp; " ") - 1) &amp; "・" &amp; LEFT(C12, FIND(" ", C12 &amp; " ") - 1)
</f>
        <v>西山・小林</v>
      </c>
      <c r="J3" s="81" t="str">
        <f>LEFT(C13, FIND(" ", C13 &amp; " ") - 1) &amp; "・" &amp; LEFT(C15, FIND(" ", C15 &amp; " ") - 1)
</f>
        <v>三宅・山本</v>
      </c>
      <c r="K3" s="82" t="s">
        <v>341</v>
      </c>
      <c r="L3" s="83" t="s">
        <v>198</v>
      </c>
      <c r="M3" s="70"/>
      <c r="N3" s="84" t="s">
        <v>342</v>
      </c>
      <c r="O3" s="85" t="s">
        <v>343</v>
      </c>
      <c r="P3" s="86" t="s">
        <v>344</v>
      </c>
      <c r="Q3" s="86" t="s">
        <v>345</v>
      </c>
      <c r="R3" s="83" t="s">
        <v>198</v>
      </c>
      <c r="S3" s="87"/>
    </row>
    <row r="4" ht="22.5" customHeight="1">
      <c r="A4" s="70"/>
      <c r="B4" s="88">
        <v>1.0</v>
      </c>
      <c r="C4" s="89" t="str">
        <f>IFERROR(VLOOKUP(B4&amp;"-"&amp;1,'リスト'!$B:$D,2,FALSE),"")</f>
        <v>藤田 智博</v>
      </c>
      <c r="F4" s="90" t="str">
        <f>IFERROR(VLOOKUP(B4&amp;"-"&amp;1,'リスト'!$B:$D,3,FALSE),"")</f>
        <v>Love ALL</v>
      </c>
      <c r="G4" s="91" t="str">
        <f>IFERROR(__xludf.DUMMYFUNCTION("SPARKLINE({1,0})"),"")</f>
        <v/>
      </c>
      <c r="H4" s="92" t="s">
        <v>346</v>
      </c>
      <c r="I4" s="92" t="s">
        <v>346</v>
      </c>
      <c r="J4" s="93" t="s">
        <v>347</v>
      </c>
      <c r="K4" s="94" t="str">
        <f>IFERROR(__xludf.DUMMYFUNCTION("SUMPRODUCT(--(REGEXMATCH(TO_TEXT(G4:J4), ""-"")), IFERROR(--(LEFT(G4:J4,FIND(""-"",G4:J4)-1)&gt;RIGHT(G4:J4,LEN(G4:J4)-FIND(""-"",G4:J4))),0)) &amp; ""-"" &amp; SUMPRODUCT(--(REGEXMATCH(TO_TEXT(G4:J4), ""-"")), IFERROR(--(LEFT(G4:J4,FIND(""-"",G4:J4)-1)&lt;RIGHT(G4:J4,"&amp;"LEN(G4:J4)-FIND(""-"",G4:J4))),0))"),"2-1")</f>
        <v>2-1</v>
      </c>
      <c r="L4" s="95" t="str">
        <f>IF(COUNTA(G4,G7,G10,G13,H4,H7,H10,H13,I4,I7,I10,I13,J4,J7,J10,J13)=16,R4,"")</f>
        <v>1位</v>
      </c>
      <c r="M4" s="70"/>
      <c r="N4" s="96">
        <f>IFERROR(VALUE(LEFT(K4,FIND("-",K4)-1)),-1)</f>
        <v>2</v>
      </c>
      <c r="O4" s="97" t="str">
        <f>SUMPRODUCT(IFERROR(--(LEFT(G4:J4,FIND("-",G4:J4)-1)),0)) &amp; "/" &amp; (SUMPRODUCT(IFERROR(--(LEFT(G4:J4,FIND("-",G4:J4)-1)),0)) + SUMPRODUCT(IFERROR(--(RIGHT(G4:J4,LEN(G4:J4)-FIND("-",G4:J4))),0)))</f>
        <v>16/22</v>
      </c>
      <c r="P4" s="95">
        <f>IF((COUNTIF($N4,N4)+COUNTIF($N7,N4)+COUNTIF($N10,N4)+COUNTIF($N13,N4))=2, IFERROR(IFS(N4=$N7,IF(VALUE(LEFT(H4,FIND("-",H4)-1))&gt;VALUE(RIGHT(H4,LEN(H4)-FIND("-",H4))),1,0), N4=$N10,IF(VALUE(LEFT(I4,FIND("-",I4)-1))&gt;VALUE(RIGHT(I4,LEN(I4)-FIND("-",I4))),1,0), N4=$N13,IF(VALUE(LEFT(J4,FIND("-",J4)-1))&gt;VALUE(RIGHT(J4,LEN(J4)-FIND("-",J4))),1,0)), ""), "")</f>
        <v>1</v>
      </c>
      <c r="Q4" s="98">
        <f t="array" ref="Q4">N4+IF(SUMPRODUCT(--({$N4;$N7;$N10;$N13}=N4))=2,P4*0.1,IF(SUMPRODUCT(--({$N4;$N7;$N10;$N13}=N4))&gt;=3,O5*0.01,0))</f>
        <v>2.1</v>
      </c>
      <c r="R4" s="95" t="str">
        <f t="array" ref="R4">_xlfn.RANK.EQ(Q4, {$Q4;$Q7;$Q10;$Q13}) &amp; "位"</f>
        <v>1位</v>
      </c>
      <c r="S4" s="99"/>
    </row>
    <row r="5" ht="5.25" customHeight="1">
      <c r="A5" s="70"/>
      <c r="B5" s="100"/>
      <c r="C5" s="101"/>
      <c r="D5" s="102"/>
      <c r="E5" s="102"/>
      <c r="F5" s="103"/>
      <c r="G5" s="31"/>
      <c r="H5" s="104"/>
      <c r="I5" s="104"/>
      <c r="J5" s="105"/>
      <c r="K5" s="106"/>
      <c r="L5" s="106"/>
      <c r="M5" s="70"/>
      <c r="N5" s="107"/>
      <c r="O5" s="108">
        <f>IFERROR(
  SUMPRODUCT(IFERROR(--(LEFT(G4:J4,FIND("-",G4:J4)-1)),0))
  /
  (SUMPRODUCT(IFERROR(--(LEFT(G4:J4,FIND("-",G4:J4)-1)),0)) + SUMPRODUCT(IFERROR(--(RIGHT(G4:J4,LEN(G4:J4)-FIND("-",G4:J4))),0)))
  , 0)</f>
        <v>0.7272727273</v>
      </c>
      <c r="P5" s="106"/>
      <c r="Q5" s="106"/>
      <c r="R5" s="106"/>
      <c r="S5" s="99"/>
    </row>
    <row r="6" ht="18.75" customHeight="1">
      <c r="A6" s="70"/>
      <c r="B6" s="109"/>
      <c r="C6" s="110" t="str">
        <f>IFERROR(VLOOKUP(B4&amp;"-"&amp;2,'リスト'!$B:$D,2,FALSE),"")</f>
        <v>山根 陽子</v>
      </c>
      <c r="D6" s="24"/>
      <c r="E6" s="24"/>
      <c r="F6" s="111" t="str">
        <f>IFERROR(VLOOKUP(B4&amp;"-"&amp;2,'リスト'!$B:$D,3,FALSE),"")</f>
        <v>フリー</v>
      </c>
      <c r="G6" s="25"/>
      <c r="H6" s="112"/>
      <c r="I6" s="112"/>
      <c r="J6" s="113"/>
      <c r="K6" s="114"/>
      <c r="L6" s="114"/>
      <c r="M6" s="70"/>
      <c r="N6" s="115"/>
      <c r="O6" s="114"/>
      <c r="P6" s="114"/>
      <c r="Q6" s="114"/>
      <c r="R6" s="114"/>
      <c r="S6" s="99"/>
    </row>
    <row r="7" ht="22.5" customHeight="1">
      <c r="A7" s="70"/>
      <c r="B7" s="116">
        <v>2.0</v>
      </c>
      <c r="C7" s="89" t="str">
        <f>IFERROR(VLOOKUP(B7&amp;"-"&amp;1,'リスト'!$B:$D,2,FALSE),"")</f>
        <v>岸本 健悟</v>
      </c>
      <c r="F7" s="90" t="str">
        <f>IFERROR(VLOOKUP(B7&amp;"-"&amp;1,'リスト'!$B:$D,3,FALSE),"")</f>
        <v>オレンジ</v>
      </c>
      <c r="G7" s="117" t="str">
        <f>IFERROR(MID(H4, FIND("-", H4) + 1, 100) &amp; "-" &amp; LEFT(H4, FIND("-", H4) - 1), "")</f>
        <v>0-6</v>
      </c>
      <c r="H7" s="118" t="str">
        <f>IFERROR(__xludf.DUMMYFUNCTION("SPARKLINE({1,0})"),"")</f>
        <v/>
      </c>
      <c r="I7" s="92" t="s">
        <v>346</v>
      </c>
      <c r="J7" s="93" t="s">
        <v>348</v>
      </c>
      <c r="K7" s="94" t="str">
        <f>IFERROR(__xludf.DUMMYFUNCTION("SUMPRODUCT(--(REGEXMATCH(TO_TEXT(G7:J7), ""-"")), IFERROR(--(LEFT(G7:J7,FIND(""-"",G7:J7)-1)&gt;RIGHT(G7:J7,LEN(G7:J7)-FIND(""-"",G7:J7))),0)) &amp; ""-"" &amp; SUMPRODUCT(--(REGEXMATCH(TO_TEXT(G7:J7), ""-"")), IFERROR(--(LEFT(G7:J7,FIND(""-"",G7:J7)-1)&lt;RIGHT(G7:J7,"&amp;"LEN(G7:J7)-FIND(""-"",G7:J7))),0))"),"2-1")</f>
        <v>2-1</v>
      </c>
      <c r="L7" s="95" t="str">
        <f>IF(COUNTA(G4,G7,G10,G13,H4,H7,H10,H13,I4,I7,I10,I13,J4,J7,J10,J13)=16,R7,"")</f>
        <v>2位</v>
      </c>
      <c r="M7" s="70"/>
      <c r="N7" s="96">
        <f>IFERROR(VALUE(LEFT(K7,FIND("-",K7)-1)),-1)</f>
        <v>2</v>
      </c>
      <c r="O7" s="97" t="str">
        <f>SUMPRODUCT(IFERROR(--(LEFT(G7:J7,FIND("-",G7:J7)-1)),0)) &amp; "/" &amp; (SUMPRODUCT(IFERROR(--(LEFT(G7:J7,FIND("-",G7:J7)-1)),0)) + SUMPRODUCT(IFERROR(--(RIGHT(G7:J7,LEN(G7:J7)-FIND("-",G7:J7))),0)))</f>
        <v>12/23</v>
      </c>
      <c r="P7" s="95">
        <f>IF((COUNTIF($N4,N7)+COUNTIF($N7,N7)+COUNTIF($N10,N7)+COUNTIF($N13,N7))=2, IFERROR(IFS(N7=$N4,IF(VALUE(LEFT(G7,FIND("-",G7)-1))&gt;VALUE(RIGHT(G7,LEN(G7)-FIND("-",G7))),1,0), N7=$N10,IF(VALUE(LEFT(I7,FIND("-",I7)-1))&gt;VALUE(RIGHT(I7,LEN(I7)-FIND("-",I7))),1,0), N7=$N13,IF(VALUE(LEFT(J7,FIND("-",J7)-1))&gt;VALUE(RIGHT(J7,LEN(J7)-FIND("-",J7))),1,0)), ""), "")</f>
        <v>0</v>
      </c>
      <c r="Q7" s="98">
        <f t="array" ref="Q7">N7+IF(SUMPRODUCT(--({$N4;$N7;$N10;$N13}=N7))=2,P7*0.1,IF(SUMPRODUCT(--({$N4;$N7;$N10;$N13}=N7))&gt;=3,O8*0.01,0))</f>
        <v>2</v>
      </c>
      <c r="R7" s="95" t="str">
        <f t="array" ref="R7">_xlfn.RANK.EQ(Q7, {$Q4;$Q7;$Q10;$Q13}) &amp; "位"</f>
        <v>2位</v>
      </c>
      <c r="S7" s="99"/>
    </row>
    <row r="8" ht="5.25" customHeight="1">
      <c r="A8" s="70"/>
      <c r="B8" s="100"/>
      <c r="C8" s="101"/>
      <c r="D8" s="102"/>
      <c r="E8" s="102"/>
      <c r="F8" s="103"/>
      <c r="G8" s="31"/>
      <c r="H8" s="104"/>
      <c r="I8" s="104"/>
      <c r="J8" s="105"/>
      <c r="K8" s="106"/>
      <c r="L8" s="106"/>
      <c r="M8" s="70"/>
      <c r="N8" s="107"/>
      <c r="O8" s="108">
        <f>IFERROR(
  SUMPRODUCT(IFERROR(--(LEFT(G7:J7,FIND("-",G7:J7)-1)),0))
  /
  (SUMPRODUCT(IFERROR(--(LEFT(G7:J7,FIND("-",G7:J7)-1)),0)) + SUMPRODUCT(IFERROR(--(RIGHT(G7:J7,LEN(G7:J7)-FIND("-",G7:J7))),0)))
  , 0)</f>
        <v>0.5217391304</v>
      </c>
      <c r="P8" s="106"/>
      <c r="Q8" s="106"/>
      <c r="R8" s="106"/>
      <c r="S8" s="99"/>
    </row>
    <row r="9" ht="22.5" customHeight="1">
      <c r="A9" s="70"/>
      <c r="B9" s="109"/>
      <c r="C9" s="110" t="str">
        <f>IFERROR(VLOOKUP(B7&amp;"-"&amp;2,'リスト'!$B:$D,2,FALSE),"")</f>
        <v>三浦 舞子</v>
      </c>
      <c r="D9" s="24"/>
      <c r="E9" s="24"/>
      <c r="F9" s="111" t="str">
        <f>IFERROR(VLOOKUP(B7&amp;"-"&amp;2,'リスト'!$B:$D,3,FALSE),"")</f>
        <v>サニーＴＳ</v>
      </c>
      <c r="G9" s="25"/>
      <c r="H9" s="112"/>
      <c r="I9" s="112"/>
      <c r="J9" s="113"/>
      <c r="K9" s="114"/>
      <c r="L9" s="114"/>
      <c r="M9" s="70"/>
      <c r="N9" s="115"/>
      <c r="O9" s="114"/>
      <c r="P9" s="114"/>
      <c r="Q9" s="114"/>
      <c r="R9" s="114"/>
      <c r="S9" s="99"/>
    </row>
    <row r="10" ht="22.5" customHeight="1">
      <c r="A10" s="70"/>
      <c r="B10" s="88">
        <v>3.0</v>
      </c>
      <c r="C10" s="89" t="str">
        <f>IFERROR(VLOOKUP(B10&amp;"-"&amp;1,'リスト'!$B:$D,2,FALSE),"")</f>
        <v>西山 禎侑</v>
      </c>
      <c r="F10" s="90" t="str">
        <f>IFERROR(VLOOKUP(B10&amp;"-"&amp;1,'リスト'!$B:$D,3,FALSE),"")</f>
        <v>ｄｏＭｅ</v>
      </c>
      <c r="G10" s="117" t="str">
        <f>IFERROR(MID(I4, FIND("-", I4) + 1, 100) &amp; "-" &amp; LEFT(I4, FIND("-", I4) - 1), "")</f>
        <v>0-6</v>
      </c>
      <c r="H10" s="117" t="str">
        <f>IFERROR(MID(I7, FIND("-", I7) + 1, 100) &amp; "-" &amp; LEFT(I7, FIND("-", I7) - 1), "")</f>
        <v>0-6</v>
      </c>
      <c r="I10" s="118" t="str">
        <f>IFERROR(__xludf.DUMMYFUNCTION("SPARKLINE({1,0})"),"")</f>
        <v/>
      </c>
      <c r="J10" s="93" t="s">
        <v>213</v>
      </c>
      <c r="K10" s="94" t="str">
        <f>IFERROR(__xludf.DUMMYFUNCTION("SUMPRODUCT(--(REGEXMATCH(TO_TEXT(G10:J10), ""-"")), IFERROR(--(LEFT(G10:J10,FIND(""-"",G10:J10)-1)&gt;RIGHT(G10:J10,LEN(G10:J10)-FIND(""-"",G10:J10))),0)) &amp; ""-"" &amp; SUMPRODUCT(--(REGEXMATCH(TO_TEXT(G10:J10), ""-"")), IFERROR(--(LEFT(G10:J10,FIND(""-"",G10:J1"&amp;"0)-1)&lt;RIGHT(G10:J10,LEN(G10:J10)-FIND(""-"",G10:J10))),0))"),"1-2")</f>
        <v>1-2</v>
      </c>
      <c r="L10" s="95" t="str">
        <f>IF(COUNTA(G4,G7,G10,G13,H4,H7,H10,H13,I4,I7,I10,I13,J4,J7,J10,J13)=16,R10,"")</f>
        <v>3位</v>
      </c>
      <c r="M10" s="70"/>
      <c r="N10" s="96">
        <f>IFERROR(VALUE(LEFT(K10,FIND("-",K10)-1)),-1)</f>
        <v>1</v>
      </c>
      <c r="O10" s="97" t="str">
        <f>SUMPRODUCT(IFERROR(--(LEFT(G10:J10,FIND("-",G10:J10)-1)),0)) &amp; "/" &amp; (SUMPRODUCT(IFERROR(--(LEFT(G10:J10,FIND("-",G10:J10)-1)),0)) + SUMPRODUCT(IFERROR(--(RIGHT(G10:J10,LEN(G10:J10)-FIND("-",G10:J10))),0)))</f>
        <v>6/20</v>
      </c>
      <c r="P10" s="95">
        <f>IF((COUNTIF($N4,N10)+COUNTIF($N7,N10)+COUNTIF($N10,N10)+COUNTIF($N13,N10))=2, IFERROR(IFS(N10=$N4,IF(VALUE(LEFT(G10,FIND("-",G10)-1))&gt;VALUE(RIGHT(G10,LEN(G10)-FIND("-",G10))),1,0), N10=$N7,IF(VALUE(LEFT(H10,FIND("-",H10)-1))&gt;VALUE(RIGHT(H10,LEN(H10)-FIND("-",H10))),1,0), N10=$N13,IF(VALUE(LEFT(J10,FIND("-",J10)-1))&gt;VALUE(RIGHT(J10,LEN(J10)-FIND("-",J10))),1,0)), ""), "")</f>
        <v>1</v>
      </c>
      <c r="Q10" s="98">
        <f t="array" ref="Q10">N10+IF(SUMPRODUCT(--({$N4;$N7;$N10;$N13}=N10))=2,P10*0.1,IF(SUMPRODUCT(--({$N4;$N7;$N10;$N13}=N10))&gt;=3,O11*0.01,0))</f>
        <v>1.1</v>
      </c>
      <c r="R10" s="95" t="str">
        <f t="array" ref="R10">_xlfn.RANK.EQ(Q10, {$Q4;$Q7;$Q10;$Q13}) &amp; "位"</f>
        <v>3位</v>
      </c>
      <c r="S10" s="99"/>
    </row>
    <row r="11" ht="5.25" customHeight="1">
      <c r="A11" s="70"/>
      <c r="B11" s="100"/>
      <c r="C11" s="101"/>
      <c r="D11" s="102"/>
      <c r="E11" s="102"/>
      <c r="F11" s="103"/>
      <c r="G11" s="31"/>
      <c r="H11" s="31"/>
      <c r="I11" s="104"/>
      <c r="J11" s="105"/>
      <c r="K11" s="106"/>
      <c r="L11" s="106"/>
      <c r="M11" s="70"/>
      <c r="N11" s="107"/>
      <c r="O11" s="108">
        <f>IFERROR(
  SUMPRODUCT(IFERROR(--(LEFT(G10:J10,FIND("-",G10:J10)-1)),0))
  /
  (SUMPRODUCT(IFERROR(--(LEFT(G10:J10,FIND("-",G10:J10)-1)),0)) + SUMPRODUCT(IFERROR(--(RIGHT(G10:J10,LEN(G10:J10)-FIND("-",G10:J10))),0)))
  , 0)</f>
        <v>0.3</v>
      </c>
      <c r="P11" s="106"/>
      <c r="Q11" s="106"/>
      <c r="R11" s="106"/>
      <c r="S11" s="99"/>
    </row>
    <row r="12" ht="22.5" customHeight="1">
      <c r="A12" s="70"/>
      <c r="B12" s="109"/>
      <c r="C12" s="110" t="str">
        <f>IFERROR(VLOOKUP(B10&amp;"-"&amp;2,'リスト'!$B:$D,2,FALSE),"")</f>
        <v>小林 さえ子</v>
      </c>
      <c r="D12" s="24"/>
      <c r="E12" s="24"/>
      <c r="F12" s="111" t="str">
        <f>IFERROR(VLOOKUP(B10&amp;"-"&amp;2,'リスト'!$B:$D,3,FALSE),"")</f>
        <v>カプリス</v>
      </c>
      <c r="G12" s="25"/>
      <c r="H12" s="25"/>
      <c r="I12" s="112"/>
      <c r="J12" s="113"/>
      <c r="K12" s="114"/>
      <c r="L12" s="114"/>
      <c r="M12" s="70"/>
      <c r="N12" s="115"/>
      <c r="O12" s="114"/>
      <c r="P12" s="114"/>
      <c r="Q12" s="114"/>
      <c r="R12" s="114"/>
      <c r="S12" s="99"/>
    </row>
    <row r="13" ht="22.5" customHeight="1">
      <c r="A13" s="70"/>
      <c r="B13" s="116">
        <v>4.0</v>
      </c>
      <c r="C13" s="89" t="str">
        <f>IFERROR(VLOOKUP(B13&amp;"-"&amp;1,'リスト'!$B:$D,2,FALSE),"")</f>
        <v>三宅 諒弥</v>
      </c>
      <c r="F13" s="90" t="str">
        <f>IFERROR(VLOOKUP(B13&amp;"-"&amp;1,'リスト'!$B:$D,3,FALSE),"")</f>
        <v>鳥取銀行</v>
      </c>
      <c r="G13" s="119" t="str">
        <f>IFERROR(MID(J4, FIND("-", J4) + 1, 100) &amp; "-" &amp; LEFT(J4, FIND("-", J4) - 1), "")</f>
        <v>6-4</v>
      </c>
      <c r="H13" s="117" t="str">
        <f>IFERROR(MID(J7, FIND("-", J7) + 1, 100) &amp; "-" &amp; LEFT(J7, FIND("-", J7) - 1), "")</f>
        <v>5-6</v>
      </c>
      <c r="I13" s="117" t="str">
        <f>IFERROR(MID(J10, FIND("-", J10) + 1, 100) &amp; "-" &amp; LEFT(J10, FIND("-", J10) - 1), "")</f>
        <v>2-6</v>
      </c>
      <c r="J13" s="120" t="str">
        <f>IFERROR(__xludf.DUMMYFUNCTION("SPARKLINE({1,0})"),"")</f>
        <v/>
      </c>
      <c r="K13" s="121" t="str">
        <f>IFERROR(__xludf.DUMMYFUNCTION("SUMPRODUCT(--(REGEXMATCH(TO_TEXT(G13:J13), ""-"")), IFERROR(--(LEFT(G13:J13,FIND(""-"",G13:J13)-1)&gt;RIGHT(G13:J13,LEN(G13:J13)-FIND(""-"",G13:J13))),0)) &amp; ""-"" &amp; SUMPRODUCT(--(REGEXMATCH(TO_TEXT(G13:J13), ""-"")), IFERROR(--(LEFT(G13:J13,FIND(""-"",G13:J1"&amp;"3)-1)&lt;RIGHT(G13:J13,LEN(G13:J13)-FIND(""-"",G13:J13))),0))"),"1-2")</f>
        <v>1-2</v>
      </c>
      <c r="L13" s="95" t="str">
        <f>IF(COUNTA(G4,G7,G10,G13,H4,H7,H10,H13,I4,I7,I10,I13,J4,J7,J10,J13)=16,R13,"")</f>
        <v>4位</v>
      </c>
      <c r="M13" s="70"/>
      <c r="N13" s="96">
        <f>IFERROR(VALUE(LEFT(K13,FIND("-",K13)-1)),-1)</f>
        <v>1</v>
      </c>
      <c r="O13" s="97" t="str">
        <f>SUMPRODUCT(IFERROR(--(LEFT(G13:J13,FIND("-",G13:J13)-1)),0)) &amp; "/" &amp; (SUMPRODUCT(IFERROR(--(LEFT(G13:J13,FIND("-",G13:J13)-1)),0)) + SUMPRODUCT(IFERROR(--(RIGHT(G13:J13,LEN(G13:J13)-FIND("-",G13:J13))),0)))</f>
        <v>13/29</v>
      </c>
      <c r="P13" s="95">
        <f>IF((COUNTIF($N4,N13)+COUNTIF($N7,N13)+COUNTIF($N10,N13)+COUNTIF($N13,N13))=2, IFERROR(IFS(N13=$N4,IF(VALUE(LEFT(G13,FIND("-",G13)-1))&gt;VALUE(RIGHT(G13,LEN(G13)-FIND("-",G13))),1,0), N13=$N7,IF(VALUE(LEFT(H13,FIND("-",H13)-1))&gt;VALUE(RIGHT(H13,LEN(H13)-FIND("-",H13))),1,0), N13=$N10,IF(VALUE(LEFT(I13,FIND("-",I13)-1))&gt;VALUE(RIGHT(I13,LEN(I13)-FIND("-",I13))),1,0)), ""), "")</f>
        <v>0</v>
      </c>
      <c r="Q13" s="98">
        <f t="array" ref="Q13">N13+IF(SUMPRODUCT(--({$N4;$N7;$N10;$N13}=N13))=2,P13*0.1,IF(SUMPRODUCT(--({$N4;$N7;$N10;$N13}=N13))&gt;=3,O14*0.01,0))</f>
        <v>1</v>
      </c>
      <c r="R13" s="95" t="str">
        <f t="array" ref="R13">_xlfn.RANK.EQ(Q13, {$Q4;$Q7;$Q10;$Q13}) &amp; "位"</f>
        <v>4位</v>
      </c>
      <c r="S13" s="99"/>
    </row>
    <row r="14" ht="5.25" customHeight="1">
      <c r="A14" s="70"/>
      <c r="B14" s="100"/>
      <c r="C14" s="101"/>
      <c r="D14" s="102"/>
      <c r="E14" s="102"/>
      <c r="F14" s="103"/>
      <c r="G14" s="31"/>
      <c r="H14" s="31"/>
      <c r="I14" s="31"/>
      <c r="J14" s="38"/>
      <c r="K14" s="107"/>
      <c r="L14" s="106"/>
      <c r="M14" s="70"/>
      <c r="N14" s="107"/>
      <c r="O14" s="108">
        <f>IFERROR(
  SUMPRODUCT(IFERROR(--(LEFT(G13:J13,FIND("-",G13:J13)-1)),0))
  /
  (SUMPRODUCT(IFERROR(--(LEFT(G13:J13,FIND("-",G13:J13)-1)),0)) + SUMPRODUCT(IFERROR(--(RIGHT(G13:J13,LEN(G13:J13)-FIND("-",G13:J13))),0)))
  , 0)</f>
        <v>0.4482758621</v>
      </c>
      <c r="P14" s="106"/>
      <c r="Q14" s="106"/>
      <c r="R14" s="106"/>
      <c r="S14" s="99"/>
    </row>
    <row r="15" ht="22.5" customHeight="1">
      <c r="A15" s="70"/>
      <c r="B15" s="122"/>
      <c r="C15" s="123" t="str">
        <f>IFERROR(VLOOKUP(B13&amp;"-"&amp;2,'リスト'!$B:$D,2,FALSE),"")</f>
        <v>山本 桂</v>
      </c>
      <c r="D15" s="124"/>
      <c r="E15" s="124"/>
      <c r="F15" s="125" t="str">
        <f>IFERROR(VLOOKUP(B13&amp;"-"&amp;2,'リスト'!$B:$D,3,FALSE),"")</f>
        <v>たんぽぽ</v>
      </c>
      <c r="G15" s="126"/>
      <c r="H15" s="126"/>
      <c r="I15" s="126"/>
      <c r="J15" s="127"/>
      <c r="K15" s="128"/>
      <c r="L15" s="129"/>
      <c r="M15" s="70"/>
      <c r="N15" s="128"/>
      <c r="O15" s="129"/>
      <c r="P15" s="129"/>
      <c r="Q15" s="129"/>
      <c r="R15" s="129"/>
      <c r="S15" s="99"/>
    </row>
    <row r="16">
      <c r="A16" s="70"/>
      <c r="B16" s="70"/>
      <c r="C16" s="70"/>
      <c r="D16" s="70"/>
      <c r="E16" s="70"/>
      <c r="F16" s="72"/>
      <c r="G16" s="73"/>
      <c r="H16" s="73"/>
      <c r="I16" s="73"/>
      <c r="J16" s="73"/>
      <c r="K16" s="70"/>
      <c r="L16" s="70"/>
      <c r="M16" s="70"/>
      <c r="N16" s="70"/>
      <c r="O16" s="70"/>
      <c r="P16" s="70"/>
      <c r="Q16" s="70"/>
      <c r="R16" s="70"/>
      <c r="S16" s="70"/>
    </row>
    <row r="17" ht="32.25" customHeight="1">
      <c r="A17" s="70"/>
      <c r="B17" s="74" t="s">
        <v>209</v>
      </c>
      <c r="D17" s="70"/>
      <c r="E17" s="75" t="s">
        <v>193</v>
      </c>
      <c r="F17" s="72"/>
      <c r="G17" s="73"/>
      <c r="H17" s="73"/>
      <c r="I17" s="76" t="str">
        <f>TRIM('予選'!$A$1)</f>
        <v>　 　　　　　 サンプル</v>
      </c>
      <c r="M17" s="70"/>
      <c r="N17" s="70"/>
      <c r="O17" s="70"/>
      <c r="P17" s="70"/>
      <c r="Q17" s="70"/>
      <c r="R17" s="70"/>
      <c r="S17" s="70"/>
    </row>
    <row r="18">
      <c r="A18" s="70"/>
      <c r="B18" s="77" t="s">
        <v>340</v>
      </c>
      <c r="C18" s="78"/>
      <c r="D18" s="78"/>
      <c r="E18" s="78"/>
      <c r="F18" s="79"/>
      <c r="G18" s="80" t="str">
        <f>LEFT(C19, FIND(" ", C19 &amp; " ") - 1) &amp; "・" &amp; LEFT(C21, FIND(" ", C21 &amp; " ") - 1)
</f>
        <v>常村・前田</v>
      </c>
      <c r="H18" s="80" t="str">
        <f>LEFT(C22, FIND(" ", C22 &amp; " ") - 1) &amp; "・" &amp; LEFT(C24, FIND(" ", C24 &amp; " ") - 1)
</f>
        <v>山辺・蓼本</v>
      </c>
      <c r="I18" s="80" t="str">
        <f>LEFT(C25, FIND(" ", C25 &amp; " ") - 1) &amp; "・" &amp; LEFT(C27, FIND(" ", C27 &amp; " ") - 1)
</f>
        <v>高垣・門脇</v>
      </c>
      <c r="J18" s="81" t="str">
        <f>LEFT(C28, FIND(" ", C28 &amp; " ") - 1) &amp; "・" &amp; LEFT(C30, FIND(" ", C30 &amp; " ") - 1)
</f>
        <v>津田・米谷</v>
      </c>
      <c r="K18" s="82" t="s">
        <v>341</v>
      </c>
      <c r="L18" s="83" t="s">
        <v>198</v>
      </c>
      <c r="M18" s="70"/>
      <c r="N18" s="84" t="s">
        <v>342</v>
      </c>
      <c r="O18" s="85" t="s">
        <v>343</v>
      </c>
      <c r="P18" s="86" t="s">
        <v>344</v>
      </c>
      <c r="Q18" s="86" t="s">
        <v>345</v>
      </c>
      <c r="R18" s="83" t="s">
        <v>198</v>
      </c>
      <c r="S18" s="87"/>
    </row>
    <row r="19" ht="22.5" customHeight="1">
      <c r="A19" s="70"/>
      <c r="B19" s="88">
        <f>B4+4</f>
        <v>5</v>
      </c>
      <c r="C19" s="89" t="str">
        <f>IFERROR(VLOOKUP(B19&amp;"-"&amp;1,'リスト'!$B:$D,2,FALSE),"")</f>
        <v>常村 和仁</v>
      </c>
      <c r="F19" s="90" t="str">
        <f>IFERROR(VLOOKUP(B19&amp;"-"&amp;1,'リスト'!$B:$D,3,FALSE),"")</f>
        <v>完熟オレンジ</v>
      </c>
      <c r="G19" s="91" t="str">
        <f>IFERROR(__xludf.DUMMYFUNCTION("SPARKLINE({1,0})"),"")</f>
        <v/>
      </c>
      <c r="H19" s="92" t="s">
        <v>346</v>
      </c>
      <c r="I19" s="92" t="s">
        <v>346</v>
      </c>
      <c r="J19" s="93" t="s">
        <v>346</v>
      </c>
      <c r="K19" s="94" t="str">
        <f>IFERROR(__xludf.DUMMYFUNCTION("SUMPRODUCT(--(REGEXMATCH(TO_TEXT(G19:J19), ""-"")), IFERROR(--(LEFT(G19:J19,FIND(""-"",G19:J19)-1)&gt;RIGHT(G19:J19,LEN(G19:J19)-FIND(""-"",G19:J19))),0)) &amp; ""-"" &amp; SUMPRODUCT(--(REGEXMATCH(TO_TEXT(G19:J19), ""-"")), IFERROR(--(LEFT(G19:J19,FIND(""-"",G19:J1"&amp;"9)-1)&lt;RIGHT(G19:J19,LEN(G19:J19)-FIND(""-"",G19:J19))),0))"),"3-0")</f>
        <v>3-0</v>
      </c>
      <c r="L19" s="95" t="str">
        <f>IF(COUNTA(G19,G22,G25,G28,H19,H22,H25,H28,I19,I22,I25,I28,J19,J22,J25,J28)=16,R19,"")</f>
        <v>1位</v>
      </c>
      <c r="M19" s="70"/>
      <c r="N19" s="96">
        <f>IFERROR(VALUE(LEFT(K19,FIND("-",K19)-1)),-1)</f>
        <v>3</v>
      </c>
      <c r="O19" s="97" t="str">
        <f>SUMPRODUCT(IFERROR(--(LEFT(G19:J19,FIND("-",G19:J19)-1)),0)) &amp; "/" &amp; (SUMPRODUCT(IFERROR(--(LEFT(G19:J19,FIND("-",G19:J19)-1)),0)) + SUMPRODUCT(IFERROR(--(RIGHT(G19:J19,LEN(G19:J19)-FIND("-",G19:J19))),0)))</f>
        <v>18/18</v>
      </c>
      <c r="P19" s="95" t="str">
        <f>IF((COUNTIF($N19,N19)+COUNTIF($N22,N19)+COUNTIF($N25,N19)+COUNTIF($N28,N19))=2, IFERROR(IFS(N19=$N22,IF(VALUE(LEFT(H19,FIND("-",H19)-1))&gt;VALUE(RIGHT(H19,LEN(H19)-FIND("-",H19))),1,0), N19=$N25,IF(VALUE(LEFT(I19,FIND("-",I19)-1))&gt;VALUE(RIGHT(I19,LEN(I19)-FIND("-",I19))),1,0), N19=$N28,IF(VALUE(LEFT(J19,FIND("-",J19)-1))&gt;VALUE(RIGHT(J19,LEN(J19)-FIND("-",J19))),1,0)), ""), "")</f>
        <v/>
      </c>
      <c r="Q19" s="98">
        <f t="array" ref="Q19">N19+IF(SUMPRODUCT(--({$N19;$N22;$N25;$N28}=N19))=2,P19*0.1,IF(SUMPRODUCT(--({$N19;$N22;$N25;$N28}=N19))&gt;=3,O20*0.01,0))</f>
        <v>3</v>
      </c>
      <c r="R19" s="95" t="str">
        <f t="array" ref="R19">_xlfn.RANK.EQ(Q19, {$Q19;$Q22;$Q25;$Q28}) &amp; "位"</f>
        <v>1位</v>
      </c>
      <c r="S19" s="99"/>
    </row>
    <row r="20" ht="5.25" customHeight="1">
      <c r="A20" s="70"/>
      <c r="B20" s="100"/>
      <c r="C20" s="101"/>
      <c r="D20" s="102"/>
      <c r="E20" s="102"/>
      <c r="F20" s="103"/>
      <c r="G20" s="31"/>
      <c r="H20" s="104"/>
      <c r="I20" s="104"/>
      <c r="J20" s="105"/>
      <c r="K20" s="106"/>
      <c r="L20" s="106"/>
      <c r="M20" s="70"/>
      <c r="N20" s="107"/>
      <c r="O20" s="108">
        <f>IFERROR(
  SUMPRODUCT(IFERROR(--(LEFT(G19:J19,FIND("-",G19:J19)-1)),0))
  /
  (SUMPRODUCT(IFERROR(--(LEFT(G19:J19,FIND("-",G19:J19)-1)),0)) + SUMPRODUCT(IFERROR(--(RIGHT(G19:J19,LEN(G19:J19)-FIND("-",G19:J19))),0)))
  , 0)</f>
        <v>1</v>
      </c>
      <c r="P20" s="106"/>
      <c r="Q20" s="106"/>
      <c r="R20" s="106"/>
      <c r="S20" s="99"/>
    </row>
    <row r="21" ht="18.75" customHeight="1">
      <c r="A21" s="70"/>
      <c r="B21" s="109"/>
      <c r="C21" s="110" t="str">
        <f>IFERROR(VLOOKUP(B19&amp;"-"&amp;2,'リスト'!$B:$D,2,FALSE),"")</f>
        <v>前田 良枝</v>
      </c>
      <c r="D21" s="24"/>
      <c r="E21" s="24"/>
      <c r="F21" s="111" t="str">
        <f>IFERROR(VLOOKUP(B19&amp;"-"&amp;2,'リスト'!$B:$D,3,FALSE),"")</f>
        <v>Ｚｏｎｅ</v>
      </c>
      <c r="G21" s="25"/>
      <c r="H21" s="112"/>
      <c r="I21" s="112"/>
      <c r="J21" s="113"/>
      <c r="K21" s="114"/>
      <c r="L21" s="114"/>
      <c r="M21" s="70"/>
      <c r="N21" s="115"/>
      <c r="O21" s="114"/>
      <c r="P21" s="114"/>
      <c r="Q21" s="114"/>
      <c r="R21" s="114"/>
      <c r="S21" s="99"/>
    </row>
    <row r="22" ht="18.75" customHeight="1">
      <c r="A22" s="70"/>
      <c r="B22" s="116">
        <f>B7+4</f>
        <v>6</v>
      </c>
      <c r="C22" s="89" t="str">
        <f>IFERROR(VLOOKUP(B22&amp;"-"&amp;1,'リスト'!$B:$D,2,FALSE),"")</f>
        <v>山辺 裕司</v>
      </c>
      <c r="F22" s="90" t="str">
        <f>IFERROR(VLOOKUP(B22&amp;"-"&amp;1,'リスト'!$B:$D,3,FALSE),"")</f>
        <v>ｄｏＭｅ</v>
      </c>
      <c r="G22" s="117" t="str">
        <f>IFERROR(MID(H19, FIND("-", H19) + 1, 100) &amp; "-" &amp; LEFT(H19, FIND("-", H19) - 1), "")</f>
        <v>0-6</v>
      </c>
      <c r="H22" s="118" t="str">
        <f>IFERROR(__xludf.DUMMYFUNCTION("SPARKLINE({1,0})"),"")</f>
        <v/>
      </c>
      <c r="I22" s="92" t="s">
        <v>346</v>
      </c>
      <c r="J22" s="93" t="s">
        <v>346</v>
      </c>
      <c r="K22" s="94" t="str">
        <f>IFERROR(__xludf.DUMMYFUNCTION("SUMPRODUCT(--(REGEXMATCH(TO_TEXT(G22:J22), ""-"")), IFERROR(--(LEFT(G22:J22,FIND(""-"",G22:J22)-1)&gt;RIGHT(G22:J22,LEN(G22:J22)-FIND(""-"",G22:J22))),0)) &amp; ""-"" &amp; SUMPRODUCT(--(REGEXMATCH(TO_TEXT(G22:J22), ""-"")), IFERROR(--(LEFT(G22:J22,FIND(""-"",G22:J2"&amp;"2)-1)&lt;RIGHT(G22:J22,LEN(G22:J22)-FIND(""-"",G22:J22))),0))"),"2-1")</f>
        <v>2-1</v>
      </c>
      <c r="L22" s="95" t="str">
        <f>IF(COUNTA(G19,G22,G25,G28,H19,H22,H25,H28,I19,I22,I25,I28,J19,J22,J25,J28)=16,R22,"")</f>
        <v>2位</v>
      </c>
      <c r="M22" s="70"/>
      <c r="N22" s="96">
        <f>IFERROR(VALUE(LEFT(K22,FIND("-",K22)-1)),-1)</f>
        <v>2</v>
      </c>
      <c r="O22" s="97" t="str">
        <f>SUMPRODUCT(IFERROR(--(LEFT(G22:J22,FIND("-",G22:J22)-1)),0)) &amp; "/" &amp; (SUMPRODUCT(IFERROR(--(LEFT(G22:J22,FIND("-",G22:J22)-1)),0)) + SUMPRODUCT(IFERROR(--(RIGHT(G22:J22,LEN(G22:J22)-FIND("-",G22:J22))),0)))</f>
        <v>12/18</v>
      </c>
      <c r="P22" s="95" t="str">
        <f>IF((COUNTIF($N19,N22)+COUNTIF($N22,N22)+COUNTIF($N25,N22)+COUNTIF($N28,N22))=2, IFERROR(IFS(N22=$N19,IF(VALUE(LEFT(G22,FIND("-",G22)-1))&gt;VALUE(RIGHT(G22,LEN(G22)-FIND("-",G22))),1,0), N22=$N25,IF(VALUE(LEFT(I22,FIND("-",I22)-1))&gt;VALUE(RIGHT(I22,LEN(I22)-FIND("-",I22))),1,0), N22=$N28,IF(VALUE(LEFT(J22,FIND("-",J22)-1))&gt;VALUE(RIGHT(J22,LEN(J22)-FIND("-",J22))),1,0)), ""), "")</f>
        <v/>
      </c>
      <c r="Q22" s="98">
        <f t="array" ref="Q22">N22+IF(SUMPRODUCT(--({$N19;$N22;$N25;$N28}=N22))=2,P22*0.1,IF(SUMPRODUCT(--({$N19;$N22;$N25;$N28}=N22))&gt;=3,O23*0.01,0))</f>
        <v>2</v>
      </c>
      <c r="R22" s="95" t="str">
        <f t="array" ref="R22">_xlfn.RANK.EQ(Q22, {$Q19;$Q22;$Q25;$Q28}) &amp; "位"</f>
        <v>2位</v>
      </c>
      <c r="S22" s="99"/>
    </row>
    <row r="23" ht="5.25" customHeight="1">
      <c r="A23" s="70"/>
      <c r="B23" s="100"/>
      <c r="C23" s="101"/>
      <c r="D23" s="102"/>
      <c r="E23" s="102"/>
      <c r="F23" s="103"/>
      <c r="G23" s="31"/>
      <c r="H23" s="104"/>
      <c r="I23" s="104"/>
      <c r="J23" s="105"/>
      <c r="K23" s="106"/>
      <c r="L23" s="106"/>
      <c r="M23" s="70"/>
      <c r="N23" s="107"/>
      <c r="O23" s="108">
        <f>IFERROR(
  SUMPRODUCT(IFERROR(--(LEFT(G22:J22,FIND("-",G22:J22)-1)),0))
  /
  (SUMPRODUCT(IFERROR(--(LEFT(G22:J22,FIND("-",G22:J22)-1)),0)) + SUMPRODUCT(IFERROR(--(RIGHT(G22:J22,LEN(G22:J22)-FIND("-",G22:J22))),0)))
  , 0)</f>
        <v>0.6666666667</v>
      </c>
      <c r="P23" s="106"/>
      <c r="Q23" s="106"/>
      <c r="R23" s="106"/>
      <c r="S23" s="99"/>
    </row>
    <row r="24" ht="18.75" customHeight="1">
      <c r="A24" s="70"/>
      <c r="B24" s="109"/>
      <c r="C24" s="110" t="str">
        <f>IFERROR(VLOOKUP(B22&amp;"-"&amp;2,'リスト'!$B:$D,2,FALSE),"")</f>
        <v>蓼本 裕美</v>
      </c>
      <c r="D24" s="24"/>
      <c r="E24" s="24"/>
      <c r="F24" s="130" t="str">
        <f>IFERROR(VLOOKUP(B22&amp;"-"&amp;2,'リスト'!$B:$D,3,FALSE),"")</f>
        <v>ｄｏＭｅ</v>
      </c>
      <c r="G24" s="25"/>
      <c r="H24" s="112"/>
      <c r="I24" s="112"/>
      <c r="J24" s="113"/>
      <c r="K24" s="114"/>
      <c r="L24" s="114"/>
      <c r="M24" s="70"/>
      <c r="N24" s="115"/>
      <c r="O24" s="114"/>
      <c r="P24" s="114"/>
      <c r="Q24" s="114"/>
      <c r="R24" s="114"/>
      <c r="S24" s="99"/>
    </row>
    <row r="25" ht="18.75" customHeight="1">
      <c r="A25" s="70"/>
      <c r="B25" s="88">
        <f>B10+4</f>
        <v>7</v>
      </c>
      <c r="C25" s="89" t="str">
        <f>IFERROR(VLOOKUP(B25&amp;"-"&amp;1,'リスト'!$B:$D,2,FALSE),"")</f>
        <v>高垣 護</v>
      </c>
      <c r="F25" s="90" t="str">
        <f>IFERROR(VLOOKUP(B25&amp;"-"&amp;1,'リスト'!$B:$D,3,FALSE),"")</f>
        <v>Drop☆Shot</v>
      </c>
      <c r="G25" s="117" t="str">
        <f>IFERROR(MID(I19, FIND("-", I19) + 1, 100) &amp; "-" &amp; LEFT(I19, FIND("-", I19) - 1), "")</f>
        <v>0-6</v>
      </c>
      <c r="H25" s="117" t="str">
        <f>IFERROR(MID(I22, FIND("-", I22) + 1, 100) &amp; "-" &amp; LEFT(I22, FIND("-", I22) - 1), "")</f>
        <v>0-6</v>
      </c>
      <c r="I25" s="118" t="str">
        <f>IFERROR(__xludf.DUMMYFUNCTION("SPARKLINE({1,0})"),"")</f>
        <v/>
      </c>
      <c r="J25" s="93" t="s">
        <v>346</v>
      </c>
      <c r="K25" s="94" t="str">
        <f>IFERROR(__xludf.DUMMYFUNCTION("SUMPRODUCT(--(REGEXMATCH(TO_TEXT(G25:J25), ""-"")), IFERROR(--(LEFT(G25:J25,FIND(""-"",G25:J25)-1)&gt;RIGHT(G25:J25,LEN(G25:J25)-FIND(""-"",G25:J25))),0)) &amp; ""-"" &amp; SUMPRODUCT(--(REGEXMATCH(TO_TEXT(G25:J25), ""-"")), IFERROR(--(LEFT(G25:J25,FIND(""-"",G25:J2"&amp;"5)-1)&lt;RIGHT(G25:J25,LEN(G25:J25)-FIND(""-"",G25:J25))),0))"),"1-2")</f>
        <v>1-2</v>
      </c>
      <c r="L25" s="95" t="str">
        <f>IF(COUNTA(G19,G22,G25,G28,H19,H22,H25,H28,I19,I22,I25,I28,J19,J22,J25,J28)=16,R25,"")</f>
        <v>3位</v>
      </c>
      <c r="M25" s="70"/>
      <c r="N25" s="96">
        <f>IFERROR(VALUE(LEFT(K25,FIND("-",K25)-1)),-1)</f>
        <v>1</v>
      </c>
      <c r="O25" s="97" t="str">
        <f>SUMPRODUCT(IFERROR(--(LEFT(G25:J25,FIND("-",G25:J25)-1)),0)) &amp; "/" &amp; (SUMPRODUCT(IFERROR(--(LEFT(G25:J25,FIND("-",G25:J25)-1)),0)) + SUMPRODUCT(IFERROR(--(RIGHT(G25:J25,LEN(G25:J25)-FIND("-",G25:J25))),0)))</f>
        <v>6/18</v>
      </c>
      <c r="P25" s="95" t="str">
        <f>IF((COUNTIF($N19,N25)+COUNTIF($N22,N25)+COUNTIF($N25,N25)+COUNTIF($N28,N25))=2, IFERROR(IFS(N25=$N19,IF(VALUE(LEFT(G25,FIND("-",G25)-1))&gt;VALUE(RIGHT(G25,LEN(G25)-FIND("-",G25))),1,0), N25=$N22,IF(VALUE(LEFT(H25,FIND("-",H25)-1))&gt;VALUE(RIGHT(H25,LEN(H25)-FIND("-",H25))),1,0), N25=$N28,IF(VALUE(LEFT(J25,FIND("-",J25)-1))&gt;VALUE(RIGHT(J25,LEN(J25)-FIND("-",J25))),1,0)), ""), "")</f>
        <v/>
      </c>
      <c r="Q25" s="98">
        <f t="array" ref="Q25">N25+IF(SUMPRODUCT(--({$N19;$N22;$N25;$N28}=N25))=2,P25*0.1,IF(SUMPRODUCT(--({$N19;$N22;$N25;$N28}=N25))&gt;=3,O26*0.01,0))</f>
        <v>1</v>
      </c>
      <c r="R25" s="95" t="str">
        <f t="array" ref="R25">_xlfn.RANK.EQ(Q25, {$Q19;$Q22;$Q25;$Q28}) &amp; "位"</f>
        <v>3位</v>
      </c>
      <c r="S25" s="99"/>
    </row>
    <row r="26" ht="5.25" customHeight="1">
      <c r="A26" s="70"/>
      <c r="B26" s="100"/>
      <c r="C26" s="101"/>
      <c r="D26" s="102"/>
      <c r="E26" s="102"/>
      <c r="F26" s="103"/>
      <c r="G26" s="31"/>
      <c r="H26" s="31"/>
      <c r="I26" s="104"/>
      <c r="J26" s="105"/>
      <c r="K26" s="106"/>
      <c r="L26" s="106"/>
      <c r="M26" s="70"/>
      <c r="N26" s="107"/>
      <c r="O26" s="108">
        <f>IFERROR(
  SUMPRODUCT(IFERROR(--(LEFT(G25:J25,FIND("-",G25:J25)-1)),0))
  /
  (SUMPRODUCT(IFERROR(--(LEFT(G25:J25,FIND("-",G25:J25)-1)),0)) + SUMPRODUCT(IFERROR(--(RIGHT(G25:J25,LEN(G25:J25)-FIND("-",G25:J25))),0)))
  , 0)</f>
        <v>0.3333333333</v>
      </c>
      <c r="P26" s="106"/>
      <c r="Q26" s="106"/>
      <c r="R26" s="106"/>
      <c r="S26" s="99"/>
    </row>
    <row r="27" ht="18.75" customHeight="1">
      <c r="A27" s="70"/>
      <c r="B27" s="109"/>
      <c r="C27" s="110" t="str">
        <f>IFERROR(VLOOKUP(B25&amp;"-"&amp;2,'リスト'!$B:$D,2,FALSE),"")</f>
        <v>門脇 春美</v>
      </c>
      <c r="D27" s="24"/>
      <c r="E27" s="24"/>
      <c r="F27" s="111" t="str">
        <f>IFERROR(VLOOKUP(B25&amp;"-"&amp;2,'リスト'!$B:$D,3,FALSE),"")</f>
        <v>あみたま</v>
      </c>
      <c r="G27" s="25"/>
      <c r="H27" s="25"/>
      <c r="I27" s="112"/>
      <c r="J27" s="113"/>
      <c r="K27" s="114"/>
      <c r="L27" s="114"/>
      <c r="M27" s="70"/>
      <c r="N27" s="115"/>
      <c r="O27" s="114"/>
      <c r="P27" s="114"/>
      <c r="Q27" s="114"/>
      <c r="R27" s="114"/>
      <c r="S27" s="99"/>
    </row>
    <row r="28" ht="18.75" customHeight="1">
      <c r="A28" s="70"/>
      <c r="B28" s="116">
        <f>B13+4</f>
        <v>8</v>
      </c>
      <c r="C28" s="89" t="str">
        <f>IFERROR(VLOOKUP(B28&amp;"-"&amp;1,'リスト'!$B:$D,2,FALSE),"")</f>
        <v>津田 智広</v>
      </c>
      <c r="F28" s="90" t="str">
        <f>IFERROR(VLOOKUP(B28&amp;"-"&amp;1,'リスト'!$B:$D,3,FALSE),"")</f>
        <v>ノーレット７</v>
      </c>
      <c r="G28" s="119" t="str">
        <f>IFERROR(MID(J19, FIND("-", J19) + 1, 100) &amp; "-" &amp; LEFT(J19, FIND("-", J19) - 1), "")</f>
        <v>0-6</v>
      </c>
      <c r="H28" s="117" t="str">
        <f>IFERROR(MID(J22, FIND("-", J22) + 1, 100) &amp; "-" &amp; LEFT(J22, FIND("-", J22) - 1), "")</f>
        <v>0-6</v>
      </c>
      <c r="I28" s="117" t="str">
        <f>IFERROR(MID(J25, FIND("-", J25) + 1, 100) &amp; "-" &amp; LEFT(J25, FIND("-", J25) - 1), "")</f>
        <v>0-6</v>
      </c>
      <c r="J28" s="131" t="str">
        <f>IFERROR(__xludf.DUMMYFUNCTION("SPARKLINE({1,0})"),"")</f>
        <v/>
      </c>
      <c r="K28" s="121" t="str">
        <f>IFERROR(__xludf.DUMMYFUNCTION("SUMPRODUCT(--(REGEXMATCH(TO_TEXT(G28:J28), ""-"")), IFERROR(--(LEFT(G28:J28,FIND(""-"",G28:J28)-1)&gt;RIGHT(G28:J28,LEN(G28:J28)-FIND(""-"",G28:J28))),0)) &amp; ""-"" &amp; SUMPRODUCT(--(REGEXMATCH(TO_TEXT(G28:J28), ""-"")), IFERROR(--(LEFT(G28:J28,FIND(""-"",G28:J2"&amp;"8)-1)&lt;RIGHT(G28:J28,LEN(G28:J28)-FIND(""-"",G28:J28))),0))"),"0-3")</f>
        <v>0-3</v>
      </c>
      <c r="L28" s="95" t="str">
        <f>IF(COUNTA(G19,G22,G25,G28,H19,H22,H25,H28,I19,I22,I25,I28,J19,J22,J25,J28)=16,R28,"")</f>
        <v>4位</v>
      </c>
      <c r="M28" s="70"/>
      <c r="N28" s="96">
        <f>IFERROR(VALUE(LEFT(K28,FIND("-",K28)-1)),-1)</f>
        <v>0</v>
      </c>
      <c r="O28" s="97" t="str">
        <f>SUMPRODUCT(IFERROR(--(LEFT(G28:J28,FIND("-",G28:J28)-1)),0)) &amp; "/" &amp; (SUMPRODUCT(IFERROR(--(LEFT(G28:J28,FIND("-",G28:J28)-1)),0)) + SUMPRODUCT(IFERROR(--(RIGHT(G28:J28,LEN(G28:J28)-FIND("-",G28:J28))),0)))</f>
        <v>0/18</v>
      </c>
      <c r="P28" s="95" t="str">
        <f>IF((COUNTIF($N19,N28)+COUNTIF($N22,N28)+COUNTIF($N25,N28)+COUNTIF($N28,N28))=2, IFERROR(IFS(N28=$N19,IF(VALUE(LEFT(G28,FIND("-",G28)-1))&gt;VALUE(RIGHT(G28,LEN(G28)-FIND("-",G28))),1,0), N28=$N22,IF(VALUE(LEFT(H28,FIND("-",H28)-1))&gt;VALUE(RIGHT(H28,LEN(H28)-FIND("-",H28))),1,0), N28=$N25,IF(VALUE(LEFT(I28,FIND("-",I28)-1))&gt;VALUE(RIGHT(I28,LEN(I28)-FIND("-",I28))),1,0)), ""), "")</f>
        <v/>
      </c>
      <c r="Q28" s="98">
        <f t="array" ref="Q28">N28+IF(SUMPRODUCT(--({$N19;$N22;$N25;$N28}=N28))=2,P28*0.1,IF(SUMPRODUCT(--({$N19;$N22;$N25;$N28}=N28))&gt;=3,O29*0.01,0))</f>
        <v>0</v>
      </c>
      <c r="R28" s="95" t="str">
        <f t="array" ref="R28">_xlfn.RANK.EQ(Q28, {$Q19;$Q22;$Q25;$Q28}) &amp; "位"</f>
        <v>4位</v>
      </c>
      <c r="S28" s="99"/>
    </row>
    <row r="29" ht="5.25" customHeight="1">
      <c r="A29" s="70"/>
      <c r="B29" s="100"/>
      <c r="C29" s="101"/>
      <c r="D29" s="102"/>
      <c r="E29" s="102"/>
      <c r="F29" s="103"/>
      <c r="G29" s="31"/>
      <c r="H29" s="31"/>
      <c r="I29" s="31"/>
      <c r="J29" s="105"/>
      <c r="K29" s="107"/>
      <c r="L29" s="106"/>
      <c r="M29" s="70"/>
      <c r="N29" s="107"/>
      <c r="O29" s="108">
        <f>IFERROR(
  SUMPRODUCT(IFERROR(--(LEFT(G28:J28,FIND("-",G28:J28)-1)),0))
  /
  (SUMPRODUCT(IFERROR(--(LEFT(G28:J28,FIND("-",G28:J28)-1)),0)) + SUMPRODUCT(IFERROR(--(RIGHT(G28:J28,LEN(G28:J28)-FIND("-",G28:J28))),0)))
  , 0)</f>
        <v>0</v>
      </c>
      <c r="P29" s="106"/>
      <c r="Q29" s="106"/>
      <c r="R29" s="106"/>
      <c r="S29" s="99"/>
    </row>
    <row r="30" ht="18.75" customHeight="1">
      <c r="A30" s="70"/>
      <c r="B30" s="122"/>
      <c r="C30" s="123" t="str">
        <f>IFERROR(VLOOKUP(B28&amp;"-"&amp;2,'リスト'!$B:$D,2,FALSE),"")</f>
        <v>米谷 さおり</v>
      </c>
      <c r="D30" s="124"/>
      <c r="E30" s="124"/>
      <c r="F30" s="125" t="str">
        <f>IFERROR(VLOOKUP(B28&amp;"-"&amp;2,'リスト'!$B:$D,3,FALSE),"")</f>
        <v>フリー</v>
      </c>
      <c r="G30" s="126"/>
      <c r="H30" s="126"/>
      <c r="I30" s="126"/>
      <c r="J30" s="132"/>
      <c r="K30" s="128"/>
      <c r="L30" s="129"/>
      <c r="M30" s="70"/>
      <c r="N30" s="128"/>
      <c r="O30" s="129"/>
      <c r="P30" s="129"/>
      <c r="Q30" s="129"/>
      <c r="R30" s="129"/>
      <c r="S30" s="99"/>
    </row>
    <row r="31">
      <c r="A31" s="70"/>
      <c r="B31" s="70"/>
      <c r="C31" s="70"/>
      <c r="D31" s="70"/>
      <c r="E31" s="70"/>
      <c r="F31" s="72"/>
      <c r="G31" s="73"/>
      <c r="H31" s="73"/>
      <c r="I31" s="73"/>
      <c r="J31" s="73"/>
      <c r="K31" s="70"/>
      <c r="L31" s="70"/>
      <c r="M31" s="70"/>
      <c r="N31" s="70"/>
      <c r="O31" s="70"/>
      <c r="P31" s="70"/>
      <c r="Q31" s="70"/>
      <c r="R31" s="70"/>
      <c r="S31" s="70"/>
    </row>
    <row r="32" ht="32.25" customHeight="1">
      <c r="A32" s="70"/>
      <c r="B32" s="74" t="s">
        <v>219</v>
      </c>
      <c r="D32" s="70"/>
      <c r="E32" s="75" t="s">
        <v>193</v>
      </c>
      <c r="F32" s="72"/>
      <c r="G32" s="73"/>
      <c r="H32" s="73"/>
      <c r="I32" s="76" t="str">
        <f>TRIM('予選'!$A$1)</f>
        <v>　 　　　　　 サンプル</v>
      </c>
      <c r="M32" s="70"/>
      <c r="N32" s="70"/>
      <c r="O32" s="70"/>
      <c r="P32" s="70"/>
      <c r="Q32" s="70"/>
      <c r="R32" s="70"/>
      <c r="S32" s="70"/>
    </row>
    <row r="33">
      <c r="A33" s="70"/>
      <c r="B33" s="77" t="s">
        <v>340</v>
      </c>
      <c r="C33" s="78"/>
      <c r="D33" s="78"/>
      <c r="E33" s="78"/>
      <c r="F33" s="79"/>
      <c r="G33" s="80" t="str">
        <f>LEFT(C34, FIND(" ", C34 &amp; " ") - 1) &amp; "・" &amp; LEFT(C36, FIND(" ", C36 &amp; " ") - 1)
</f>
        <v>近藤・前田</v>
      </c>
      <c r="H33" s="80" t="str">
        <f>LEFT(C37, FIND(" ", C37 &amp; " ") - 1) &amp; "・" &amp; LEFT(C39, FIND(" ", C39 &amp; " ") - 1)
</f>
        <v>林原・林原</v>
      </c>
      <c r="I33" s="80" t="str">
        <f>LEFT(C40, FIND(" ", C40 &amp; " ") - 1) &amp; "・" &amp; LEFT(C42, FIND(" ", C42 &amp; " ") - 1)
</f>
        <v>和気・長川</v>
      </c>
      <c r="J33" s="81" t="str">
        <f>LEFT(C43, FIND(" ", C43 &amp; " ") - 1) &amp; "・" &amp; LEFT(C45, FIND(" ", C45 &amp; " ") - 1)
</f>
        <v>山下・田苗</v>
      </c>
      <c r="K33" s="82" t="s">
        <v>341</v>
      </c>
      <c r="L33" s="83" t="s">
        <v>198</v>
      </c>
      <c r="M33" s="70"/>
      <c r="N33" s="84" t="s">
        <v>342</v>
      </c>
      <c r="O33" s="85" t="s">
        <v>343</v>
      </c>
      <c r="P33" s="86" t="s">
        <v>344</v>
      </c>
      <c r="Q33" s="86" t="s">
        <v>349</v>
      </c>
      <c r="R33" s="83" t="s">
        <v>198</v>
      </c>
      <c r="S33" s="87"/>
    </row>
    <row r="34" ht="22.5" customHeight="1">
      <c r="A34" s="70"/>
      <c r="B34" s="88">
        <f>B19+4</f>
        <v>9</v>
      </c>
      <c r="C34" s="89" t="str">
        <f>IFERROR(VLOOKUP(B34&amp;"-"&amp;1,'リスト'!$B:$D,2,FALSE),"")</f>
        <v>近藤 哲生</v>
      </c>
      <c r="F34" s="90" t="str">
        <f>IFERROR(VLOOKUP(B34&amp;"-"&amp;1,'リスト'!$B:$D,3,FALSE),"")</f>
        <v>因幡打輪</v>
      </c>
      <c r="G34" s="91" t="str">
        <f>IFERROR(__xludf.DUMMYFUNCTION("SPARKLINE({1,0})"),"")</f>
        <v/>
      </c>
      <c r="H34" s="92" t="s">
        <v>350</v>
      </c>
      <c r="I34" s="92" t="s">
        <v>346</v>
      </c>
      <c r="J34" s="93" t="s">
        <v>346</v>
      </c>
      <c r="K34" s="94" t="str">
        <f>IFERROR(__xludf.DUMMYFUNCTION("SUMPRODUCT(--(REGEXMATCH(TO_TEXT(G34:J34), ""-"")), IFERROR(--(LEFT(G34:J34,FIND(""-"",G34:J34)-1)&gt;RIGHT(G34:J34,LEN(G34:J34)-FIND(""-"",G34:J34))),0)) &amp; ""-"" &amp; SUMPRODUCT(--(REGEXMATCH(TO_TEXT(G34:J34), ""-"")), IFERROR(--(LEFT(G34:J34,FIND(""-"",G34:J3"&amp;"4)-1)&lt;RIGHT(G34:J34,LEN(G34:J34)-FIND(""-"",G34:J34))),0))"),"2-0")</f>
        <v>2-0</v>
      </c>
      <c r="L34" s="95" t="str">
        <f>IF(COUNTA(G34,G37,G40,G43,H34,H37,H40,H43,I34,I37,I40,I43,J34,J37,J40,J43)=16,R34,"")</f>
        <v>1位</v>
      </c>
      <c r="M34" s="70"/>
      <c r="N34" s="96">
        <f>IFERROR(VALUE(LEFT(K34,FIND("-",K34)-1)),-1)</f>
        <v>2</v>
      </c>
      <c r="O34" s="97" t="str">
        <f>SUMPRODUCT(IFERROR(--(LEFT(G34:J34,FIND("-",G34:J34)-1)),0)) &amp; "/" &amp; (SUMPRODUCT(IFERROR(--(LEFT(G34:J34,FIND("-",G34:J34)-1)),0)) + SUMPRODUCT(IFERROR(--(RIGHT(G34:J34,LEN(G34:J34)-FIND("-",G34:J34))),0)))</f>
        <v>12/12</v>
      </c>
      <c r="P34" s="95" t="str">
        <f>IF((COUNTIF($N34,N34)+COUNTIF($N37,N34)+COUNTIF($N40,N34)+COUNTIF($N43,N34))=2, IFERROR(IFS(N34=$N37,IF(VALUE(LEFT(H34,FIND("-",H34)-1))&gt;VALUE(RIGHT(H34,LEN(H34)-FIND("-",H34))),1,0), N34=$N40,IF(VALUE(LEFT(I34,FIND("-",I34)-1))&gt;VALUE(RIGHT(I34,LEN(I34)-FIND("-",I34))),1,0), N34=$N43,IF(VALUE(LEFT(J34,FIND("-",J34)-1))&gt;VALUE(RIGHT(J34,LEN(J34)-FIND("-",J34))),1,0)), ""), "")</f>
        <v/>
      </c>
      <c r="Q34" s="98">
        <f t="array" ref="Q34">N34+IF(SUMPRODUCT(--({$N34;$N37;$N40;$N43}=N34))=2,P34*0.1,IF(SUMPRODUCT(--({$N34;$N37;$N40;$N43}=N34))&gt;=3,O35*0.01,0))</f>
        <v>2</v>
      </c>
      <c r="R34" s="95" t="str">
        <f t="array" ref="R34">_xlfn.RANK.EQ(Q34, {$Q34;$Q37;$Q40;$Q43}) &amp; "位"</f>
        <v>1位</v>
      </c>
      <c r="S34" s="99"/>
    </row>
    <row r="35" ht="5.25" customHeight="1">
      <c r="A35" s="70"/>
      <c r="B35" s="100"/>
      <c r="C35" s="101"/>
      <c r="D35" s="102"/>
      <c r="E35" s="102"/>
      <c r="F35" s="103"/>
      <c r="G35" s="31"/>
      <c r="H35" s="104"/>
      <c r="I35" s="104"/>
      <c r="J35" s="105"/>
      <c r="K35" s="106"/>
      <c r="L35" s="106"/>
      <c r="M35" s="70"/>
      <c r="N35" s="107"/>
      <c r="O35" s="108">
        <f>IFERROR(
  SUMPRODUCT(IFERROR(--(LEFT(G34:J34,FIND("-",G34:J34)-1)),0))
  /
  (SUMPRODUCT(IFERROR(--(LEFT(G34:J34,FIND("-",G34:J34)-1)),0)) + SUMPRODUCT(IFERROR(--(RIGHT(G34:J34,LEN(G34:J34)-FIND("-",G34:J34))),0)))
  , 0)</f>
        <v>1</v>
      </c>
      <c r="P35" s="106"/>
      <c r="Q35" s="106"/>
      <c r="R35" s="106"/>
      <c r="S35" s="99"/>
    </row>
    <row r="36" ht="18.75" customHeight="1">
      <c r="A36" s="70"/>
      <c r="B36" s="109"/>
      <c r="C36" s="110" t="str">
        <f>IFERROR(VLOOKUP(B34&amp;"-"&amp;2,'リスト'!$B:$D,2,FALSE),"")</f>
        <v>前田 陽子</v>
      </c>
      <c r="D36" s="24"/>
      <c r="E36" s="24"/>
      <c r="F36" s="111" t="str">
        <f>IFERROR(VLOOKUP(B34&amp;"-"&amp;2,'リスト'!$B:$D,3,FALSE),"")</f>
        <v>フリー</v>
      </c>
      <c r="G36" s="25"/>
      <c r="H36" s="112"/>
      <c r="I36" s="112"/>
      <c r="J36" s="113"/>
      <c r="K36" s="114"/>
      <c r="L36" s="114"/>
      <c r="M36" s="70"/>
      <c r="N36" s="115"/>
      <c r="O36" s="114"/>
      <c r="P36" s="114"/>
      <c r="Q36" s="114"/>
      <c r="R36" s="114"/>
      <c r="S36" s="99"/>
    </row>
    <row r="37" ht="18.75" customHeight="1">
      <c r="A37" s="70"/>
      <c r="B37" s="133">
        <f>B22+4</f>
        <v>10</v>
      </c>
      <c r="C37" s="134" t="str">
        <f>IFERROR(VLOOKUP(B37&amp;"-"&amp;1,'リスト'!$B:$D,2,FALSE),"")</f>
        <v>林原 政幸</v>
      </c>
      <c r="F37" s="135" t="str">
        <f>IFERROR(VLOOKUP(B37&amp;"-"&amp;1,'リスト'!$B:$D,3,FALSE),"")</f>
        <v>フリー</v>
      </c>
      <c r="G37" s="136" t="str">
        <f>IFERROR(MID(H34, FIND("-", H34) + 1, 100) &amp; "-" &amp; LEFT(H34, FIND("-", H34) - 1), "")</f>
        <v>0-0</v>
      </c>
      <c r="H37" s="137" t="str">
        <f>IFERROR(__xludf.DUMMYFUNCTION("SPARKLINE({1,0})"),"")</f>
        <v/>
      </c>
      <c r="I37" s="138" t="s">
        <v>350</v>
      </c>
      <c r="J37" s="139" t="s">
        <v>350</v>
      </c>
      <c r="K37" s="140" t="str">
        <f>IFERROR(__xludf.DUMMYFUNCTION("SUMPRODUCT(--(REGEXMATCH(TO_TEXT(G37:J37), ""-"")), IFERROR(--(LEFT(G37:J37,FIND(""-"",G37:J37)-1)&gt;RIGHT(G37:J37,LEN(G37:J37)-FIND(""-"",G37:J37))),0)) &amp; ""-"" &amp; SUMPRODUCT(--(REGEXMATCH(TO_TEXT(G37:J37), ""-"")), IFERROR(--(LEFT(G37:J37,FIND(""-"",G37:J3"&amp;"7)-1)&lt;RIGHT(G37:J37,LEN(G37:J37)-FIND(""-"",G37:J37))),0))"),"0-0")</f>
        <v>0-0</v>
      </c>
      <c r="L37" s="141" t="s">
        <v>351</v>
      </c>
      <c r="M37" s="142"/>
      <c r="N37" s="143">
        <f>IFERROR(VALUE(LEFT(K37,FIND("-",K37)-1)),-1)</f>
        <v>0</v>
      </c>
      <c r="O37" s="144" t="str">
        <f>SUMPRODUCT(IFERROR(--(LEFT(G37:J37,FIND("-",G37:J37)-1)),0)) &amp; "/" &amp; (SUMPRODUCT(IFERROR(--(LEFT(G37:J37,FIND("-",G37:J37)-1)),0)) + SUMPRODUCT(IFERROR(--(RIGHT(G37:J37,LEN(G37:J37)-FIND("-",G37:J37))),0)))</f>
        <v>0/0</v>
      </c>
      <c r="P37" s="145">
        <f>IF((COUNTIF($N34,N37)+COUNTIF($N37,N37)+COUNTIF($N40,N37)+COUNTIF($N43,N37))=2, IFERROR(IFS(N37=$N34,IF(VALUE(LEFT(G37,FIND("-",G37)-1))&gt;VALUE(RIGHT(G37,LEN(G37)-FIND("-",G37))),1,0), N37=$N40,IF(VALUE(LEFT(I37,FIND("-",I37)-1))&gt;VALUE(RIGHT(I37,LEN(I37)-FIND("-",I37))),1,0), N37=$N43,IF(VALUE(LEFT(J37,FIND("-",J37)-1))&gt;VALUE(RIGHT(J37,LEN(J37)-FIND("-",J37))),1,0)), ""), "")</f>
        <v>0</v>
      </c>
      <c r="Q37" s="146">
        <f t="array" ref="Q37">N37+IF(SUMPRODUCT(--({$N34;$N37;$N40;$N43}=N37))=2,P37*0.1,IF(SUMPRODUCT(--({$N34;$N37;$N40;$N43}=N37))&gt;=3,O38*0.01,0))</f>
        <v>0</v>
      </c>
      <c r="R37" s="145" t="str">
        <f t="array" ref="R37">_xlfn.RANK.EQ(Q37, {$Q34;$Q37;$Q40;$Q43}) &amp; "位"</f>
        <v>3位</v>
      </c>
      <c r="S37" s="99"/>
    </row>
    <row r="38" ht="5.25" customHeight="1">
      <c r="A38" s="70"/>
      <c r="B38" s="100"/>
      <c r="C38" s="147"/>
      <c r="D38" s="148"/>
      <c r="E38" s="148"/>
      <c r="F38" s="149"/>
      <c r="G38" s="31"/>
      <c r="H38" s="104"/>
      <c r="I38" s="104"/>
      <c r="J38" s="105"/>
      <c r="K38" s="106"/>
      <c r="L38" s="106"/>
      <c r="M38" s="142"/>
      <c r="N38" s="107"/>
      <c r="O38" s="150">
        <f>IFERROR(
  SUMPRODUCT(IFERROR(--(LEFT(G37:J37,FIND("-",G37:J37)-1)),0))
  /
  (SUMPRODUCT(IFERROR(--(LEFT(G37:J37,FIND("-",G37:J37)-1)),0)) + SUMPRODUCT(IFERROR(--(RIGHT(G37:J37,LEN(G37:J37)-FIND("-",G37:J37))),0)))
  , 0)</f>
        <v>0</v>
      </c>
      <c r="P38" s="106"/>
      <c r="Q38" s="106"/>
      <c r="R38" s="106"/>
      <c r="S38" s="99"/>
    </row>
    <row r="39" ht="18.75" customHeight="1">
      <c r="A39" s="70"/>
      <c r="B39" s="109"/>
      <c r="C39" s="151" t="str">
        <f>IFERROR(VLOOKUP(B37&amp;"-"&amp;2,'リスト'!$B:$D,2,FALSE),"")</f>
        <v>林原 史子</v>
      </c>
      <c r="D39" s="24"/>
      <c r="E39" s="24"/>
      <c r="F39" s="152" t="str">
        <f>IFERROR(VLOOKUP(B37&amp;"-"&amp;2,'リスト'!$B:$D,3,FALSE),"")</f>
        <v>フリー</v>
      </c>
      <c r="G39" s="25"/>
      <c r="H39" s="112"/>
      <c r="I39" s="112"/>
      <c r="J39" s="113"/>
      <c r="K39" s="114"/>
      <c r="L39" s="114"/>
      <c r="M39" s="142"/>
      <c r="N39" s="115"/>
      <c r="O39" s="114"/>
      <c r="P39" s="114"/>
      <c r="Q39" s="114"/>
      <c r="R39" s="114"/>
      <c r="S39" s="99"/>
    </row>
    <row r="40" ht="18.75" customHeight="1">
      <c r="A40" s="70"/>
      <c r="B40" s="88">
        <f>B25+4</f>
        <v>11</v>
      </c>
      <c r="C40" s="89" t="str">
        <f>IFERROR(VLOOKUP(B40&amp;"-"&amp;1,'リスト'!$B:$D,2,FALSE),"")</f>
        <v>和気 久</v>
      </c>
      <c r="F40" s="90" t="str">
        <f>IFERROR(VLOOKUP(B40&amp;"-"&amp;1,'リスト'!$B:$D,3,FALSE),"")</f>
        <v>ＢＳＣ</v>
      </c>
      <c r="G40" s="117" t="str">
        <f>IFERROR(MID(I34, FIND("-", I34) + 1, 100) &amp; "-" &amp; LEFT(I34, FIND("-", I34) - 1), "")</f>
        <v>0-6</v>
      </c>
      <c r="H40" s="117" t="str">
        <f>IFERROR(MID(I37, FIND("-", I37) + 1, 100) &amp; "-" &amp; LEFT(I37, FIND("-", I37) - 1), "")</f>
        <v>0-0</v>
      </c>
      <c r="I40" s="118" t="str">
        <f>IFERROR(__xludf.DUMMYFUNCTION("SPARKLINE({1,0})"),"")</f>
        <v/>
      </c>
      <c r="J40" s="93" t="s">
        <v>346</v>
      </c>
      <c r="K40" s="94" t="str">
        <f>IFERROR(__xludf.DUMMYFUNCTION("SUMPRODUCT(--(REGEXMATCH(TO_TEXT(G40:J40), ""-"")), IFERROR(--(LEFT(G40:J40,FIND(""-"",G40:J40)-1)&gt;RIGHT(G40:J40,LEN(G40:J40)-FIND(""-"",G40:J40))),0)) &amp; ""-"" &amp; SUMPRODUCT(--(REGEXMATCH(TO_TEXT(G40:J40), ""-"")), IFERROR(--(LEFT(G40:J40,FIND(""-"",G40:J4"&amp;"0)-1)&lt;RIGHT(G40:J40,LEN(G40:J40)-FIND(""-"",G40:J40))),0))"),"1-1")</f>
        <v>1-1</v>
      </c>
      <c r="L40" s="95" t="str">
        <f>IF(COUNTA(G34,G37,G40,G43,H34,H37,H40,H43,I34,I37,I40,I43,J34,J37,J40,J43)=16,R40,"")</f>
        <v>2位</v>
      </c>
      <c r="M40" s="70"/>
      <c r="N40" s="96">
        <f>IFERROR(VALUE(LEFT(K40,FIND("-",K40)-1)),-1)</f>
        <v>1</v>
      </c>
      <c r="O40" s="97" t="str">
        <f>SUMPRODUCT(IFERROR(--(LEFT(G40:J40,FIND("-",G40:J40)-1)),0)) &amp; "/" &amp; (SUMPRODUCT(IFERROR(--(LEFT(G40:J40,FIND("-",G40:J40)-1)),0)) + SUMPRODUCT(IFERROR(--(RIGHT(G40:J40,LEN(G40:J40)-FIND("-",G40:J40))),0)))</f>
        <v>6/12</v>
      </c>
      <c r="P40" s="95" t="str">
        <f>IF((COUNTIF($N34,N40)+COUNTIF($N37,N40)+COUNTIF($N40,N40)+COUNTIF($N43,N40))=2, IFERROR(IFS(N40=$N34,IF(VALUE(LEFT(G40,FIND("-",G40)-1))&gt;VALUE(RIGHT(G40,LEN(G40)-FIND("-",G40))),1,0), N40=$N37,IF(VALUE(LEFT(H40,FIND("-",H40)-1))&gt;VALUE(RIGHT(H40,LEN(H40)-FIND("-",H40))),1,0), N40=$N43,IF(VALUE(LEFT(J40,FIND("-",J40)-1))&gt;VALUE(RIGHT(J40,LEN(J40)-FIND("-",J40))),1,0)), ""), "")</f>
        <v/>
      </c>
      <c r="Q40" s="98">
        <f t="array" ref="Q40">N40+IF(SUMPRODUCT(--({$N34;$N37;$N40;$N43}=N40))=2,P40*0.1,IF(SUMPRODUCT(--({$N34;$N37;$N40;$N43}=N40))&gt;=3,O41*0.01,0))</f>
        <v>1</v>
      </c>
      <c r="R40" s="95" t="str">
        <f t="array" ref="R40">_xlfn.RANK.EQ(Q40, {$Q34;$Q37;$Q40;$Q43}) &amp; "位"</f>
        <v>2位</v>
      </c>
      <c r="S40" s="99"/>
    </row>
    <row r="41" ht="5.25" customHeight="1">
      <c r="A41" s="70"/>
      <c r="B41" s="100"/>
      <c r="C41" s="101"/>
      <c r="D41" s="102"/>
      <c r="E41" s="102"/>
      <c r="F41" s="103"/>
      <c r="G41" s="31"/>
      <c r="H41" s="31"/>
      <c r="I41" s="104"/>
      <c r="J41" s="105"/>
      <c r="K41" s="106"/>
      <c r="L41" s="106"/>
      <c r="M41" s="70"/>
      <c r="N41" s="107"/>
      <c r="O41" s="108">
        <f>IFERROR(
  SUMPRODUCT(IFERROR(--(LEFT(G40:J40,FIND("-",G40:J40)-1)),0))
  /
  (SUMPRODUCT(IFERROR(--(LEFT(G40:J40,FIND("-",G40:J40)-1)),0)) + SUMPRODUCT(IFERROR(--(RIGHT(G40:J40,LEN(G40:J40)-FIND("-",G40:J40))),0)))
  , 0)</f>
        <v>0.5</v>
      </c>
      <c r="P41" s="106"/>
      <c r="Q41" s="106"/>
      <c r="R41" s="106"/>
      <c r="S41" s="99"/>
    </row>
    <row r="42" ht="18.75" customHeight="1">
      <c r="A42" s="70"/>
      <c r="B42" s="109"/>
      <c r="C42" s="110" t="str">
        <f>IFERROR(VLOOKUP(B40&amp;"-"&amp;2,'リスト'!$B:$D,2,FALSE),"")</f>
        <v>長川 朱美</v>
      </c>
      <c r="D42" s="24"/>
      <c r="E42" s="24"/>
      <c r="F42" s="111" t="str">
        <f>IFERROR(VLOOKUP(B40&amp;"-"&amp;2,'リスト'!$B:$D,3,FALSE),"")</f>
        <v>ロランギャロス</v>
      </c>
      <c r="G42" s="25"/>
      <c r="H42" s="25"/>
      <c r="I42" s="112"/>
      <c r="J42" s="113"/>
      <c r="K42" s="114"/>
      <c r="L42" s="114"/>
      <c r="M42" s="70"/>
      <c r="N42" s="115"/>
      <c r="O42" s="114"/>
      <c r="P42" s="114"/>
      <c r="Q42" s="114"/>
      <c r="R42" s="114"/>
      <c r="S42" s="99"/>
    </row>
    <row r="43" ht="18.75" customHeight="1">
      <c r="A43" s="70"/>
      <c r="B43" s="116">
        <f>B28+4</f>
        <v>12</v>
      </c>
      <c r="C43" s="89" t="str">
        <f>IFERROR(VLOOKUP(B43&amp;"-"&amp;1,'リスト'!$B:$D,2,FALSE),"")</f>
        <v>山下 悠樹</v>
      </c>
      <c r="F43" s="90" t="str">
        <f>IFERROR(VLOOKUP(B43&amp;"-"&amp;1,'リスト'!$B:$D,3,FALSE),"")</f>
        <v>ｏｆｆ</v>
      </c>
      <c r="G43" s="119" t="str">
        <f>IFERROR(MID(J34, FIND("-", J34) + 1, 100) &amp; "-" &amp; LEFT(J34, FIND("-", J34) - 1), "")</f>
        <v>0-6</v>
      </c>
      <c r="H43" s="117" t="str">
        <f>IFERROR(MID(J37, FIND("-", J37) + 1, 100) &amp; "-" &amp; LEFT(J37, FIND("-", J37) - 1), "")</f>
        <v>0-0</v>
      </c>
      <c r="I43" s="117" t="str">
        <f>IFERROR(MID(J40, FIND("-", J40) + 1, 100) &amp; "-" &amp; LEFT(J40, FIND("-", J40) - 1), "")</f>
        <v>0-6</v>
      </c>
      <c r="J43" s="131" t="str">
        <f>IFERROR(__xludf.DUMMYFUNCTION("SPARKLINE({1,0})"),"")</f>
        <v/>
      </c>
      <c r="K43" s="121" t="str">
        <f>IFERROR(__xludf.DUMMYFUNCTION("SUMPRODUCT(--(REGEXMATCH(TO_TEXT(G43:J43), ""-"")), IFERROR(--(LEFT(G43:J43,FIND(""-"",G43:J43)-1)&gt;RIGHT(G43:J43,LEN(G43:J43)-FIND(""-"",G43:J43))),0)) &amp; ""-"" &amp; SUMPRODUCT(--(REGEXMATCH(TO_TEXT(G43:J43), ""-"")), IFERROR(--(LEFT(G43:J43,FIND(""-"",G43:J4"&amp;"3)-1)&lt;RIGHT(G43:J43,LEN(G43:J43)-FIND(""-"",G43:J43))),0))"),"0-2")</f>
        <v>0-2</v>
      </c>
      <c r="L43" s="95" t="str">
        <f>IF(COUNTA(G34,G37,G40,G43,H34,H37,H40,H43,I34,I37,I40,I43,J34,J37,J40,J43)=16,R43,"")</f>
        <v>3位</v>
      </c>
      <c r="M43" s="70"/>
      <c r="N43" s="96">
        <f>IFERROR(VALUE(LEFT(K43,FIND("-",K43)-1)),-1)</f>
        <v>0</v>
      </c>
      <c r="O43" s="97" t="str">
        <f>SUMPRODUCT(IFERROR(--(LEFT(G43:J43,FIND("-",G43:J43)-1)),0)) &amp; "/" &amp; (SUMPRODUCT(IFERROR(--(LEFT(G43:J43,FIND("-",G43:J43)-1)),0)) + SUMPRODUCT(IFERROR(--(RIGHT(G43:J43,LEN(G43:J43)-FIND("-",G43:J43))),0)))</f>
        <v>0/12</v>
      </c>
      <c r="P43" s="95">
        <f>IF((COUNTIF($N34,N43)+COUNTIF($N37,N43)+COUNTIF($N40,N43)+COUNTIF($N43,N43))=2, IFERROR(IFS(N43=$N34,IF(VALUE(LEFT(G43,FIND("-",G43)-1))&gt;VALUE(RIGHT(G43,LEN(G43)-FIND("-",G43))),1,0), N43=$N37,IF(VALUE(LEFT(H43,FIND("-",H43)-1))&gt;VALUE(RIGHT(H43,LEN(H43)-FIND("-",H43))),1,0), N43=$N40,IF(VALUE(LEFT(I43,FIND("-",I43)-1))&gt;VALUE(RIGHT(I43,LEN(I43)-FIND("-",I43))),1,0)), ""), "")</f>
        <v>0</v>
      </c>
      <c r="Q43" s="98">
        <f t="array" ref="Q43">N43+IF(SUMPRODUCT(--({$N34;$N37;$N40;$N43}=N43))=2,P43*0.1,IF(SUMPRODUCT(--({$N34;$N37;$N40;$N43}=N43))&gt;=3,O44*0.01,0))</f>
        <v>0</v>
      </c>
      <c r="R43" s="95" t="str">
        <f t="array" ref="R43">_xlfn.RANK.EQ(Q43, {$Q34;$Q37;$Q40;$Q43}) &amp; "位"</f>
        <v>3位</v>
      </c>
      <c r="S43" s="99"/>
    </row>
    <row r="44" ht="5.25" customHeight="1">
      <c r="A44" s="70"/>
      <c r="B44" s="100"/>
      <c r="C44" s="101"/>
      <c r="D44" s="102"/>
      <c r="E44" s="102"/>
      <c r="F44" s="103"/>
      <c r="G44" s="31"/>
      <c r="H44" s="31"/>
      <c r="I44" s="31"/>
      <c r="J44" s="105"/>
      <c r="K44" s="107"/>
      <c r="L44" s="106"/>
      <c r="M44" s="70"/>
      <c r="N44" s="107"/>
      <c r="O44" s="108">
        <f>IFERROR(
  SUMPRODUCT(IFERROR(--(LEFT(G43:J43,FIND("-",G43:J43)-1)),0))
  /
  (SUMPRODUCT(IFERROR(--(LEFT(G43:J43,FIND("-",G43:J43)-1)),0)) + SUMPRODUCT(IFERROR(--(RIGHT(G43:J43,LEN(G43:J43)-FIND("-",G43:J43))),0)))
  , 0)</f>
        <v>0</v>
      </c>
      <c r="P44" s="106"/>
      <c r="Q44" s="106"/>
      <c r="R44" s="106"/>
      <c r="S44" s="99"/>
    </row>
    <row r="45" ht="18.75" customHeight="1">
      <c r="A45" s="70"/>
      <c r="B45" s="122"/>
      <c r="C45" s="123" t="str">
        <f>IFERROR(VLOOKUP(B43&amp;"-"&amp;2,'リスト'!$B:$D,2,FALSE),"")</f>
        <v>田苗 真里</v>
      </c>
      <c r="D45" s="124"/>
      <c r="E45" s="124"/>
      <c r="F45" s="125" t="str">
        <f>IFERROR(VLOOKUP(B43&amp;"-"&amp;2,'リスト'!$B:$D,3,FALSE),"")</f>
        <v>フリー</v>
      </c>
      <c r="G45" s="126"/>
      <c r="H45" s="126"/>
      <c r="I45" s="126"/>
      <c r="J45" s="132"/>
      <c r="K45" s="128"/>
      <c r="L45" s="129"/>
      <c r="M45" s="70"/>
      <c r="N45" s="128"/>
      <c r="O45" s="129"/>
      <c r="P45" s="129"/>
      <c r="Q45" s="129"/>
      <c r="R45" s="129"/>
      <c r="S45" s="99"/>
    </row>
    <row r="46">
      <c r="A46" s="70"/>
      <c r="B46" s="70"/>
      <c r="C46" s="70"/>
      <c r="D46" s="70"/>
      <c r="E46" s="70"/>
      <c r="F46" s="72"/>
      <c r="G46" s="73"/>
      <c r="H46" s="73"/>
      <c r="I46" s="73"/>
      <c r="J46" s="73"/>
      <c r="K46" s="70"/>
      <c r="L46" s="70"/>
      <c r="M46" s="70"/>
      <c r="N46" s="70"/>
      <c r="O46" s="70"/>
      <c r="P46" s="70"/>
      <c r="Q46" s="70"/>
      <c r="R46" s="70"/>
      <c r="S46" s="70"/>
    </row>
    <row r="47" ht="32.25" customHeight="1">
      <c r="A47" s="70"/>
      <c r="B47" s="74" t="s">
        <v>229</v>
      </c>
      <c r="D47" s="70"/>
      <c r="E47" s="75" t="s">
        <v>193</v>
      </c>
      <c r="F47" s="72"/>
      <c r="G47" s="73"/>
      <c r="H47" s="73"/>
      <c r="I47" s="76" t="str">
        <f>TRIM('予選'!$A$1)</f>
        <v>　 　　　　　 サンプル</v>
      </c>
      <c r="M47" s="70"/>
      <c r="N47" s="70"/>
      <c r="O47" s="70"/>
      <c r="P47" s="70"/>
      <c r="Q47" s="70"/>
      <c r="R47" s="70"/>
      <c r="S47" s="70"/>
    </row>
    <row r="48">
      <c r="A48" s="70"/>
      <c r="B48" s="77" t="s">
        <v>340</v>
      </c>
      <c r="C48" s="78"/>
      <c r="D48" s="78"/>
      <c r="E48" s="78"/>
      <c r="F48" s="79"/>
      <c r="G48" s="80" t="str">
        <f>LEFT(C49, FIND(" ", C49 &amp; " ") - 1) &amp; "・" &amp; LEFT(C51, FIND(" ", C51 &amp; " ") - 1)
</f>
        <v>小谷・小谷</v>
      </c>
      <c r="H48" s="80" t="str">
        <f>LEFT(C52, FIND(" ", C52 &amp; " ") - 1) &amp; "・" &amp; LEFT(C54, FIND(" ", C54 &amp; " ") - 1)
</f>
        <v>中里・市川</v>
      </c>
      <c r="I48" s="80" t="str">
        <f>LEFT(C55, FIND(" ", C55 &amp; " ") - 1) &amp; "・" &amp; LEFT(C57, FIND(" ", C57 &amp; " ") - 1)
</f>
        <v>網川・網川</v>
      </c>
      <c r="J48" s="81" t="str">
        <f>LEFT(C58, FIND(" ", C58 &amp; " ") - 1) &amp; "・" &amp; LEFT(C60, FIND(" ", C60 &amp; " ") - 1)
</f>
        <v>羽馬・杉原</v>
      </c>
      <c r="K48" s="82" t="s">
        <v>341</v>
      </c>
      <c r="L48" s="83" t="s">
        <v>198</v>
      </c>
      <c r="M48" s="70"/>
      <c r="N48" s="84" t="s">
        <v>342</v>
      </c>
      <c r="O48" s="85" t="s">
        <v>343</v>
      </c>
      <c r="P48" s="86" t="s">
        <v>344</v>
      </c>
      <c r="Q48" s="86" t="s">
        <v>345</v>
      </c>
      <c r="R48" s="83" t="s">
        <v>198</v>
      </c>
      <c r="S48" s="87"/>
    </row>
    <row r="49" ht="22.5" customHeight="1">
      <c r="A49" s="70"/>
      <c r="B49" s="88">
        <f>B34+4</f>
        <v>13</v>
      </c>
      <c r="C49" s="89" t="str">
        <f>IFERROR(VLOOKUP(B49&amp;"-"&amp;1,'リスト'!$B:$D,2,FALSE),"")</f>
        <v>小谷 桂介</v>
      </c>
      <c r="F49" s="90" t="str">
        <f>IFERROR(VLOOKUP(B49&amp;"-"&amp;1,'リスト'!$B:$D,3,FALSE),"")</f>
        <v>Ｔ-nuts</v>
      </c>
      <c r="G49" s="91" t="str">
        <f>IFERROR(__xludf.DUMMYFUNCTION("SPARKLINE({1,0})"),"")</f>
        <v/>
      </c>
      <c r="H49" s="92" t="s">
        <v>346</v>
      </c>
      <c r="I49" s="92" t="s">
        <v>346</v>
      </c>
      <c r="J49" s="93" t="s">
        <v>346</v>
      </c>
      <c r="K49" s="94" t="str">
        <f>IFERROR(__xludf.DUMMYFUNCTION("SUMPRODUCT(--(REGEXMATCH(TO_TEXT(G49:J49), ""-"")), IFERROR(--(LEFT(G49:J49,FIND(""-"",G49:J49)-1)&gt;RIGHT(G49:J49,LEN(G49:J49)-FIND(""-"",G49:J49))),0)) &amp; ""-"" &amp; SUMPRODUCT(--(REGEXMATCH(TO_TEXT(G49:J49), ""-"")), IFERROR(--(LEFT(G49:J49,FIND(""-"",G49:J4"&amp;"9)-1)&lt;RIGHT(G49:J49,LEN(G49:J49)-FIND(""-"",G49:J49))),0))"),"3-0")</f>
        <v>3-0</v>
      </c>
      <c r="L49" s="95" t="str">
        <f>IF(COUNTA(G49,G52,G55,G58,H49,H52,H55,H58,I49,I52,I55,I58,J49,J52,J55,J58)=16,R49,"")</f>
        <v>1位</v>
      </c>
      <c r="M49" s="70"/>
      <c r="N49" s="96">
        <f>IFERROR(VALUE(LEFT(K49,FIND("-",K49)-1)),-1)</f>
        <v>3</v>
      </c>
      <c r="O49" s="97" t="str">
        <f>SUMPRODUCT(IFERROR(--(LEFT(G49:J49,FIND("-",G49:J49)-1)),0)) &amp; "/" &amp; (SUMPRODUCT(IFERROR(--(LEFT(G49:J49,FIND("-",G49:J49)-1)),0)) + SUMPRODUCT(IFERROR(--(RIGHT(G49:J49,LEN(G49:J49)-FIND("-",G49:J49))),0)))</f>
        <v>18/18</v>
      </c>
      <c r="P49" s="95" t="str">
        <f>IF((COUNTIF($N49,N49)+COUNTIF($N52,N49)+COUNTIF($N55,N49)+COUNTIF($N58,N49))=2, IFERROR(IFS(N49=$N52,IF(VALUE(LEFT(H49,FIND("-",H49)-1))&gt;VALUE(RIGHT(H49,LEN(H49)-FIND("-",H49))),1,0), N49=$N55,IF(VALUE(LEFT(I49,FIND("-",I49)-1))&gt;VALUE(RIGHT(I49,LEN(I49)-FIND("-",I49))),1,0), N49=$N58,IF(VALUE(LEFT(J49,FIND("-",J49)-1))&gt;VALUE(RIGHT(J49,LEN(J49)-FIND("-",J49))),1,0)), ""), "")</f>
        <v/>
      </c>
      <c r="Q49" s="98">
        <f t="array" ref="Q49">N49+IF(SUMPRODUCT(--({$N49;$N52;$N55;$N58}=N49))=2,P49*0.1,IF(SUMPRODUCT(--({$N49;$N52;$N55;$N58}=N49))&gt;=3,O50*0.01,0))</f>
        <v>3</v>
      </c>
      <c r="R49" s="95" t="str">
        <f t="array" ref="R49">_xlfn.RANK.EQ(Q49, {$Q49;$Q52;$Q55;$Q58}) &amp; "位"</f>
        <v>1位</v>
      </c>
      <c r="S49" s="99"/>
    </row>
    <row r="50" ht="5.25" customHeight="1">
      <c r="A50" s="70"/>
      <c r="B50" s="100"/>
      <c r="C50" s="101"/>
      <c r="D50" s="102"/>
      <c r="E50" s="102"/>
      <c r="F50" s="103"/>
      <c r="G50" s="31"/>
      <c r="H50" s="104"/>
      <c r="I50" s="104"/>
      <c r="J50" s="105"/>
      <c r="K50" s="106"/>
      <c r="L50" s="106"/>
      <c r="M50" s="70"/>
      <c r="N50" s="107"/>
      <c r="O50" s="108">
        <f>IFERROR(
  SUMPRODUCT(IFERROR(--(LEFT(G49:J49,FIND("-",G49:J49)-1)),0))
  /
  (SUMPRODUCT(IFERROR(--(LEFT(G49:J49,FIND("-",G49:J49)-1)),0)) + SUMPRODUCT(IFERROR(--(RIGHT(G49:J49,LEN(G49:J49)-FIND("-",G49:J49))),0)))
  , 0)</f>
        <v>1</v>
      </c>
      <c r="P50" s="106"/>
      <c r="Q50" s="106"/>
      <c r="R50" s="106"/>
      <c r="S50" s="99"/>
    </row>
    <row r="51" ht="18.75" customHeight="1">
      <c r="A51" s="70"/>
      <c r="B51" s="109"/>
      <c r="C51" s="110" t="str">
        <f>IFERROR(VLOOKUP(B49&amp;"-"&amp;2,'リスト'!$B:$D,2,FALSE),"")</f>
        <v>小谷 佐知子</v>
      </c>
      <c r="D51" s="24"/>
      <c r="E51" s="24"/>
      <c r="F51" s="111" t="str">
        <f>IFERROR(VLOOKUP(B49&amp;"-"&amp;2,'リスト'!$B:$D,3,FALSE),"")</f>
        <v>Ｔ-nuts</v>
      </c>
      <c r="G51" s="25"/>
      <c r="H51" s="112"/>
      <c r="I51" s="112"/>
      <c r="J51" s="113"/>
      <c r="K51" s="114"/>
      <c r="L51" s="114"/>
      <c r="M51" s="70"/>
      <c r="N51" s="115"/>
      <c r="O51" s="114"/>
      <c r="P51" s="114"/>
      <c r="Q51" s="114"/>
      <c r="R51" s="114"/>
      <c r="S51" s="99"/>
    </row>
    <row r="52" ht="18.75" customHeight="1">
      <c r="A52" s="70"/>
      <c r="B52" s="116">
        <f>B37+4</f>
        <v>14</v>
      </c>
      <c r="C52" s="89" t="str">
        <f>IFERROR(VLOOKUP(B52&amp;"-"&amp;1,'リスト'!$B:$D,2,FALSE),"")</f>
        <v>中里 海</v>
      </c>
      <c r="F52" s="90" t="str">
        <f>IFERROR(VLOOKUP(B52&amp;"-"&amp;1,'リスト'!$B:$D,3,FALSE),"")</f>
        <v>湖山池ＴＣ</v>
      </c>
      <c r="G52" s="117" t="str">
        <f>IFERROR(MID(H49, FIND("-", H49) + 1, 100) &amp; "-" &amp; LEFT(H49, FIND("-", H49) - 1), "")</f>
        <v>0-6</v>
      </c>
      <c r="H52" s="118" t="str">
        <f>IFERROR(__xludf.DUMMYFUNCTION("SPARKLINE({1,0})"),"")</f>
        <v/>
      </c>
      <c r="I52" s="92" t="s">
        <v>346</v>
      </c>
      <c r="J52" s="93" t="s">
        <v>346</v>
      </c>
      <c r="K52" s="94" t="str">
        <f>IFERROR(__xludf.DUMMYFUNCTION("SUMPRODUCT(--(REGEXMATCH(TO_TEXT(G52:J52), ""-"")), IFERROR(--(LEFT(G52:J52,FIND(""-"",G52:J52)-1)&gt;RIGHT(G52:J52,LEN(G52:J52)-FIND(""-"",G52:J52))),0)) &amp; ""-"" &amp; SUMPRODUCT(--(REGEXMATCH(TO_TEXT(G52:J52), ""-"")), IFERROR(--(LEFT(G52:J52,FIND(""-"",G52:J5"&amp;"2)-1)&lt;RIGHT(G52:J52,LEN(G52:J52)-FIND(""-"",G52:J52))),0))"),"2-1")</f>
        <v>2-1</v>
      </c>
      <c r="L52" s="95" t="str">
        <f>IF(COUNTA(G49,G52,G55,G58,H49,H52,H55,H58,I49,I52,I55,I58,J49,J52,J55,J58)=16,R52,"")</f>
        <v>2位</v>
      </c>
      <c r="M52" s="70"/>
      <c r="N52" s="96">
        <f>IFERROR(VALUE(LEFT(K52,FIND("-",K52)-1)),-1)</f>
        <v>2</v>
      </c>
      <c r="O52" s="97" t="str">
        <f>SUMPRODUCT(IFERROR(--(LEFT(G52:J52,FIND("-",G52:J52)-1)),0)) &amp; "/" &amp; (SUMPRODUCT(IFERROR(--(LEFT(G52:J52,FIND("-",G52:J52)-1)),0)) + SUMPRODUCT(IFERROR(--(RIGHT(G52:J52,LEN(G52:J52)-FIND("-",G52:J52))),0)))</f>
        <v>12/18</v>
      </c>
      <c r="P52" s="95" t="str">
        <f>IF((COUNTIF($N49,N52)+COUNTIF($N52,N52)+COUNTIF($N55,N52)+COUNTIF($N58,N52))=2, IFERROR(IFS(N52=$N49,IF(VALUE(LEFT(G52,FIND("-",G52)-1))&gt;VALUE(RIGHT(G52,LEN(G52)-FIND("-",G52))),1,0), N52=$N55,IF(VALUE(LEFT(I52,FIND("-",I52)-1))&gt;VALUE(RIGHT(I52,LEN(I52)-FIND("-",I52))),1,0), N52=$N58,IF(VALUE(LEFT(J52,FIND("-",J52)-1))&gt;VALUE(RIGHT(J52,LEN(J52)-FIND("-",J52))),1,0)), ""), "")</f>
        <v/>
      </c>
      <c r="Q52" s="98">
        <f t="array" ref="Q52">N52+IF(SUMPRODUCT(--({$N49;$N52;$N55;$N58}=N52))=2,P52*0.1,IF(SUMPRODUCT(--({$N49;$N52;$N55;$N58}=N52))&gt;=3,O53*0.01,0))</f>
        <v>2</v>
      </c>
      <c r="R52" s="95" t="str">
        <f t="array" ref="R52">_xlfn.RANK.EQ(Q52, {$Q49;$Q52;$Q55;$Q58}) &amp; "位"</f>
        <v>2位</v>
      </c>
      <c r="S52" s="99"/>
    </row>
    <row r="53" ht="5.25" customHeight="1">
      <c r="A53" s="70"/>
      <c r="B53" s="100"/>
      <c r="C53" s="101"/>
      <c r="D53" s="102"/>
      <c r="E53" s="102"/>
      <c r="F53" s="103"/>
      <c r="G53" s="31"/>
      <c r="H53" s="104"/>
      <c r="I53" s="104"/>
      <c r="J53" s="105"/>
      <c r="K53" s="106"/>
      <c r="L53" s="106"/>
      <c r="M53" s="70"/>
      <c r="N53" s="107"/>
      <c r="O53" s="108">
        <f>IFERROR(
  SUMPRODUCT(IFERROR(--(LEFT(G52:J52,FIND("-",G52:J52)-1)),0))
  /
  (SUMPRODUCT(IFERROR(--(LEFT(G52:J52,FIND("-",G52:J52)-1)),0)) + SUMPRODUCT(IFERROR(--(RIGHT(G52:J52,LEN(G52:J52)-FIND("-",G52:J52))),0)))
  , 0)</f>
        <v>0.6666666667</v>
      </c>
      <c r="P53" s="106"/>
      <c r="Q53" s="106"/>
      <c r="R53" s="106"/>
      <c r="S53" s="99"/>
    </row>
    <row r="54" ht="18.75" customHeight="1">
      <c r="A54" s="70"/>
      <c r="B54" s="109"/>
      <c r="C54" s="110" t="str">
        <f>IFERROR(VLOOKUP(B52&amp;"-"&amp;2,'リスト'!$B:$D,2,FALSE),"")</f>
        <v>市川 朋子</v>
      </c>
      <c r="D54" s="24"/>
      <c r="E54" s="24"/>
      <c r="F54" s="111" t="str">
        <f>IFERROR(VLOOKUP(B52&amp;"-"&amp;2,'リスト'!$B:$D,3,FALSE),"")</f>
        <v>あみたま</v>
      </c>
      <c r="G54" s="25"/>
      <c r="H54" s="112"/>
      <c r="I54" s="112"/>
      <c r="J54" s="113"/>
      <c r="K54" s="114"/>
      <c r="L54" s="114"/>
      <c r="M54" s="70"/>
      <c r="N54" s="115"/>
      <c r="O54" s="114"/>
      <c r="P54" s="114"/>
      <c r="Q54" s="114"/>
      <c r="R54" s="114"/>
      <c r="S54" s="99"/>
    </row>
    <row r="55" ht="18.75" customHeight="1">
      <c r="A55" s="70"/>
      <c r="B55" s="88">
        <f>B40+4</f>
        <v>15</v>
      </c>
      <c r="C55" s="89" t="str">
        <f>IFERROR(VLOOKUP(B55&amp;"-"&amp;1,'リスト'!$B:$D,2,FALSE),"")</f>
        <v>網川 忠之</v>
      </c>
      <c r="F55" s="90" t="str">
        <f>IFERROR(VLOOKUP(B55&amp;"-"&amp;1,'リスト'!$B:$D,3,FALSE),"")</f>
        <v>フリー</v>
      </c>
      <c r="G55" s="117" t="str">
        <f>IFERROR(MID(I49, FIND("-", I49) + 1, 100) &amp; "-" &amp; LEFT(I49, FIND("-", I49) - 1), "")</f>
        <v>0-6</v>
      </c>
      <c r="H55" s="117" t="str">
        <f>IFERROR(MID(I52, FIND("-", I52) + 1, 100) &amp; "-" &amp; LEFT(I52, FIND("-", I52) - 1), "")</f>
        <v>0-6</v>
      </c>
      <c r="I55" s="118" t="str">
        <f>IFERROR(__xludf.DUMMYFUNCTION("SPARKLINE({1,0})"),"")</f>
        <v/>
      </c>
      <c r="J55" s="93" t="s">
        <v>346</v>
      </c>
      <c r="K55" s="94" t="str">
        <f>IFERROR(__xludf.DUMMYFUNCTION("SUMPRODUCT(--(REGEXMATCH(TO_TEXT(G55:J55), ""-"")), IFERROR(--(LEFT(G55:J55,FIND(""-"",G55:J55)-1)&gt;RIGHT(G55:J55,LEN(G55:J55)-FIND(""-"",G55:J55))),0)) &amp; ""-"" &amp; SUMPRODUCT(--(REGEXMATCH(TO_TEXT(G55:J55), ""-"")), IFERROR(--(LEFT(G55:J55,FIND(""-"",G55:J5"&amp;"5)-1)&lt;RIGHT(G55:J55,LEN(G55:J55)-FIND(""-"",G55:J55))),0))"),"1-2")</f>
        <v>1-2</v>
      </c>
      <c r="L55" s="95" t="str">
        <f>IF(COUNTA(G49,G52,G55,G58,H49,H52,H55,H58,I49,I52,I55,I58,J49,J52,J55,J58)=16,R55,"")</f>
        <v>3位</v>
      </c>
      <c r="M55" s="70"/>
      <c r="N55" s="96">
        <f>IFERROR(VALUE(LEFT(K55,FIND("-",K55)-1)),-1)</f>
        <v>1</v>
      </c>
      <c r="O55" s="97" t="str">
        <f>SUMPRODUCT(IFERROR(--(LEFT(G55:J55,FIND("-",G55:J55)-1)),0)) &amp; "/" &amp; (SUMPRODUCT(IFERROR(--(LEFT(G55:J55,FIND("-",G55:J55)-1)),0)) + SUMPRODUCT(IFERROR(--(RIGHT(G55:J55,LEN(G55:J55)-FIND("-",G55:J55))),0)))</f>
        <v>6/18</v>
      </c>
      <c r="P55" s="95" t="str">
        <f>IF((COUNTIF($N49,N55)+COUNTIF($N52,N55)+COUNTIF($N55,N55)+COUNTIF($N58,N55))=2, IFERROR(IFS(N55=$N49,IF(VALUE(LEFT(G55,FIND("-",G55)-1))&gt;VALUE(RIGHT(G55,LEN(G55)-FIND("-",G55))),1,0), N55=$N52,IF(VALUE(LEFT(H55,FIND("-",H55)-1))&gt;VALUE(RIGHT(H55,LEN(H55)-FIND("-",H55))),1,0), N55=$N58,IF(VALUE(LEFT(J55,FIND("-",J55)-1))&gt;VALUE(RIGHT(J55,LEN(J55)-FIND("-",J55))),1,0)), ""), "")</f>
        <v/>
      </c>
      <c r="Q55" s="98">
        <f t="array" ref="Q55">N55+IF(SUMPRODUCT(--({$N49;$N52;$N55;$N58}=N55))=2,P55*0.1,IF(SUMPRODUCT(--({$N49;$N52;$N55;$N58}=N55))&gt;=3,O56*0.01,0))</f>
        <v>1</v>
      </c>
      <c r="R55" s="95" t="str">
        <f t="array" ref="R55">_xlfn.RANK.EQ(Q55, {$Q49;$Q52;$Q55;$Q58}) &amp; "位"</f>
        <v>3位</v>
      </c>
      <c r="S55" s="99"/>
    </row>
    <row r="56" ht="5.25" customHeight="1">
      <c r="A56" s="70"/>
      <c r="B56" s="100"/>
      <c r="C56" s="101"/>
      <c r="D56" s="102"/>
      <c r="E56" s="102"/>
      <c r="F56" s="103"/>
      <c r="G56" s="31"/>
      <c r="H56" s="31"/>
      <c r="I56" s="104"/>
      <c r="J56" s="105"/>
      <c r="K56" s="106"/>
      <c r="L56" s="106"/>
      <c r="M56" s="70"/>
      <c r="N56" s="107"/>
      <c r="O56" s="108">
        <f>IFERROR(
  SUMPRODUCT(IFERROR(--(LEFT(G55:J55,FIND("-",G55:J55)-1)),0))
  /
  (SUMPRODUCT(IFERROR(--(LEFT(G55:J55,FIND("-",G55:J55)-1)),0)) + SUMPRODUCT(IFERROR(--(RIGHT(G55:J55,LEN(G55:J55)-FIND("-",G55:J55))),0)))
  , 0)</f>
        <v>0.3333333333</v>
      </c>
      <c r="P56" s="106"/>
      <c r="Q56" s="106"/>
      <c r="R56" s="106"/>
      <c r="S56" s="99"/>
    </row>
    <row r="57" ht="18.75" customHeight="1">
      <c r="A57" s="70"/>
      <c r="B57" s="109"/>
      <c r="C57" s="110" t="str">
        <f>IFERROR(VLOOKUP(B55&amp;"-"&amp;2,'リスト'!$B:$D,2,FALSE),"")</f>
        <v>網川 佐知子</v>
      </c>
      <c r="D57" s="24"/>
      <c r="E57" s="24"/>
      <c r="F57" s="111" t="str">
        <f>IFERROR(VLOOKUP(B55&amp;"-"&amp;2,'リスト'!$B:$D,3,FALSE),"")</f>
        <v>フリー</v>
      </c>
      <c r="G57" s="25"/>
      <c r="H57" s="25"/>
      <c r="I57" s="112"/>
      <c r="J57" s="113"/>
      <c r="K57" s="114"/>
      <c r="L57" s="114"/>
      <c r="M57" s="70"/>
      <c r="N57" s="115"/>
      <c r="O57" s="114"/>
      <c r="P57" s="114"/>
      <c r="Q57" s="114"/>
      <c r="R57" s="114"/>
      <c r="S57" s="99"/>
    </row>
    <row r="58" ht="18.75" customHeight="1">
      <c r="A58" s="70"/>
      <c r="B58" s="116">
        <f>B43+4</f>
        <v>16</v>
      </c>
      <c r="C58" s="89" t="str">
        <f>IFERROR(VLOOKUP(B58&amp;"-"&amp;1,'リスト'!$B:$D,2,FALSE),"")</f>
        <v>羽馬 由和</v>
      </c>
      <c r="F58" s="90" t="str">
        <f>IFERROR(VLOOKUP(B58&amp;"-"&amp;1,'リスト'!$B:$D,3,FALSE),"")</f>
        <v>オレンジ</v>
      </c>
      <c r="G58" s="119" t="str">
        <f>IFERROR(MID(J49, FIND("-", J49) + 1, 100) &amp; "-" &amp; LEFT(J49, FIND("-", J49) - 1), "")</f>
        <v>0-6</v>
      </c>
      <c r="H58" s="117" t="str">
        <f>IFERROR(MID(J52, FIND("-", J52) + 1, 100) &amp; "-" &amp; LEFT(J52, FIND("-", J52) - 1), "")</f>
        <v>0-6</v>
      </c>
      <c r="I58" s="117" t="str">
        <f>IFERROR(MID(J55, FIND("-", J55) + 1, 100) &amp; "-" &amp; LEFT(J55, FIND("-", J55) - 1), "")</f>
        <v>0-6</v>
      </c>
      <c r="J58" s="120" t="str">
        <f>IFERROR(__xludf.DUMMYFUNCTION("SPARKLINE({1,0})"),"")</f>
        <v/>
      </c>
      <c r="K58" s="121" t="str">
        <f>IFERROR(__xludf.DUMMYFUNCTION("SUMPRODUCT(--(REGEXMATCH(TO_TEXT(G58:J58), ""-"")), IFERROR(--(LEFT(G58:J58,FIND(""-"",G58:J58)-1)&gt;RIGHT(G58:J58,LEN(G58:J58)-FIND(""-"",G58:J58))),0)) &amp; ""-"" &amp; SUMPRODUCT(--(REGEXMATCH(TO_TEXT(G58:J58), ""-"")), IFERROR(--(LEFT(G58:J58,FIND(""-"",G58:J5"&amp;"8)-1)&lt;RIGHT(G58:J58,LEN(G58:J58)-FIND(""-"",G58:J58))),0))"),"0-3")</f>
        <v>0-3</v>
      </c>
      <c r="L58" s="95" t="str">
        <f>IF(COUNTA(G49,G52,G55,G58,H49,H52,H55,H58,I49,I52,I55,I58,J49,J52,J55,J58)=16,R58,"")</f>
        <v>4位</v>
      </c>
      <c r="M58" s="70"/>
      <c r="N58" s="96">
        <f>IFERROR(VALUE(LEFT(K58,FIND("-",K58)-1)),-1)</f>
        <v>0</v>
      </c>
      <c r="O58" s="97" t="str">
        <f>SUMPRODUCT(IFERROR(--(LEFT(G58:J58,FIND("-",G58:J58)-1)),0)) &amp; "/" &amp; (SUMPRODUCT(IFERROR(--(LEFT(G58:J58,FIND("-",G58:J58)-1)),0)) + SUMPRODUCT(IFERROR(--(RIGHT(G58:J58,LEN(G58:J58)-FIND("-",G58:J58))),0)))</f>
        <v>0/18</v>
      </c>
      <c r="P58" s="95" t="str">
        <f>IF((COUNTIF($N49,N58)+COUNTIF($N52,N58)+COUNTIF($N55,N58)+COUNTIF($N58,N58))=2, IFERROR(IFS(N58=$N49,IF(VALUE(LEFT(G58,FIND("-",G58)-1))&gt;VALUE(RIGHT(G58,LEN(G58)-FIND("-",G58))),1,0), N58=$N52,IF(VALUE(LEFT(H58,FIND("-",H58)-1))&gt;VALUE(RIGHT(H58,LEN(H58)-FIND("-",H58))),1,0), N58=$N55,IF(VALUE(LEFT(I58,FIND("-",I58)-1))&gt;VALUE(RIGHT(I58,LEN(I58)-FIND("-",I58))),1,0)), ""), "")</f>
        <v/>
      </c>
      <c r="Q58" s="98">
        <f t="array" ref="Q58">N58+IF(SUMPRODUCT(--({$N49;$N52;$N55;$N58}=N58))=2,P58*0.1,IF(SUMPRODUCT(--({$N49;$N52;$N55;$N58}=N58))&gt;=3,O59*0.01,0))</f>
        <v>0</v>
      </c>
      <c r="R58" s="95" t="str">
        <f t="array" ref="R58">_xlfn.RANK.EQ(Q58, {$Q49;$Q52;$Q55;$Q58}) &amp; "位"</f>
        <v>4位</v>
      </c>
      <c r="S58" s="99"/>
    </row>
    <row r="59" ht="5.25" customHeight="1">
      <c r="A59" s="70"/>
      <c r="B59" s="100"/>
      <c r="C59" s="101"/>
      <c r="D59" s="102"/>
      <c r="E59" s="102"/>
      <c r="F59" s="103"/>
      <c r="G59" s="31"/>
      <c r="H59" s="31"/>
      <c r="I59" s="31"/>
      <c r="J59" s="38"/>
      <c r="K59" s="107"/>
      <c r="L59" s="106"/>
      <c r="M59" s="70"/>
      <c r="N59" s="107"/>
      <c r="O59" s="108">
        <f>IFERROR(
  SUMPRODUCT(IFERROR(--(LEFT(G58:J58,FIND("-",G58:J58)-1)),0))
  /
  (SUMPRODUCT(IFERROR(--(LEFT(G58:J58,FIND("-",G58:J58)-1)),0)) + SUMPRODUCT(IFERROR(--(RIGHT(G58:J58,LEN(G58:J58)-FIND("-",G58:J58))),0)))
  , 0)</f>
        <v>0</v>
      </c>
      <c r="P59" s="106"/>
      <c r="Q59" s="106"/>
      <c r="R59" s="106"/>
      <c r="S59" s="99"/>
    </row>
    <row r="60" ht="18.75" customHeight="1">
      <c r="A60" s="70"/>
      <c r="B60" s="122"/>
      <c r="C60" s="123" t="str">
        <f>IFERROR(VLOOKUP(B58&amp;"-"&amp;2,'リスト'!$B:$D,2,FALSE),"")</f>
        <v>杉原 三奈</v>
      </c>
      <c r="D60" s="124"/>
      <c r="E60" s="124"/>
      <c r="F60" s="125" t="str">
        <f>IFERROR(VLOOKUP(B58&amp;"-"&amp;2,'リスト'!$B:$D,3,FALSE),"")</f>
        <v>ジュピター</v>
      </c>
      <c r="G60" s="126"/>
      <c r="H60" s="126"/>
      <c r="I60" s="126"/>
      <c r="J60" s="127"/>
      <c r="K60" s="128"/>
      <c r="L60" s="129"/>
      <c r="M60" s="70"/>
      <c r="N60" s="128"/>
      <c r="O60" s="129"/>
      <c r="P60" s="129"/>
      <c r="Q60" s="129"/>
      <c r="R60" s="129"/>
      <c r="S60" s="99"/>
    </row>
    <row r="61">
      <c r="A61" s="70"/>
      <c r="B61" s="70"/>
      <c r="C61" s="70"/>
      <c r="D61" s="70"/>
      <c r="E61" s="70"/>
      <c r="F61" s="72"/>
      <c r="G61" s="73"/>
      <c r="H61" s="73"/>
      <c r="I61" s="73"/>
      <c r="J61" s="73"/>
      <c r="K61" s="70"/>
      <c r="L61" s="70"/>
      <c r="M61" s="70"/>
      <c r="N61" s="70"/>
      <c r="O61" s="70"/>
      <c r="P61" s="70"/>
      <c r="Q61" s="70"/>
      <c r="R61" s="70"/>
      <c r="S61" s="70"/>
    </row>
    <row r="62" ht="32.25" customHeight="1">
      <c r="A62" s="70"/>
      <c r="B62" s="74" t="s">
        <v>240</v>
      </c>
      <c r="D62" s="70"/>
      <c r="E62" s="75" t="s">
        <v>193</v>
      </c>
      <c r="F62" s="72"/>
      <c r="G62" s="73"/>
      <c r="H62" s="73"/>
      <c r="I62" s="76" t="str">
        <f>TRIM('予選'!$A$1)</f>
        <v>　 　　　　　 サンプル</v>
      </c>
      <c r="M62" s="70"/>
      <c r="N62" s="70"/>
      <c r="O62" s="70"/>
      <c r="P62" s="70"/>
      <c r="Q62" s="70"/>
      <c r="R62" s="70"/>
      <c r="S62" s="70"/>
    </row>
    <row r="63">
      <c r="A63" s="70"/>
      <c r="B63" s="77" t="s">
        <v>340</v>
      </c>
      <c r="C63" s="78"/>
      <c r="D63" s="78"/>
      <c r="E63" s="78"/>
      <c r="F63" s="79"/>
      <c r="G63" s="80" t="str">
        <f>LEFT(C64, FIND(" ", C64 &amp; " ") - 1) &amp; "・" &amp; LEFT(C66, FIND(" ", C66 &amp; " ") - 1)
</f>
        <v>谷本・谷口</v>
      </c>
      <c r="H63" s="80" t="str">
        <f>LEFT(C67, FIND(" ", C67 &amp; " ") - 1) &amp; "・" &amp; LEFT(C69, FIND(" ", C69 &amp; " ") - 1)
</f>
        <v>田中・山﨑</v>
      </c>
      <c r="I63" s="80" t="str">
        <f>LEFT(C70, FIND(" ", C70 &amp; " ") - 1) &amp; "・" &amp; LEFT(C72, FIND(" ", C72 &amp; " ") - 1)
</f>
        <v>椿・椿</v>
      </c>
      <c r="J63" s="81" t="str">
        <f>LEFT(C73, FIND(" ", C73 &amp; " ") - 1) &amp; "・" &amp; LEFT(C75, FIND(" ", C75 &amp; " ") - 1)
</f>
        <v>町田・町田</v>
      </c>
      <c r="K63" s="82" t="s">
        <v>341</v>
      </c>
      <c r="L63" s="83" t="s">
        <v>198</v>
      </c>
      <c r="M63" s="70"/>
      <c r="N63" s="84" t="s">
        <v>342</v>
      </c>
      <c r="O63" s="85" t="s">
        <v>343</v>
      </c>
      <c r="P63" s="86" t="s">
        <v>344</v>
      </c>
      <c r="Q63" s="86" t="s">
        <v>345</v>
      </c>
      <c r="R63" s="83" t="s">
        <v>198</v>
      </c>
      <c r="S63" s="87"/>
    </row>
    <row r="64" ht="22.5" customHeight="1">
      <c r="A64" s="70"/>
      <c r="B64" s="88">
        <f>B49+4</f>
        <v>17</v>
      </c>
      <c r="C64" s="89" t="str">
        <f>IFERROR(VLOOKUP(B64&amp;"-"&amp;1,'リスト'!$B:$D,2,FALSE),"")</f>
        <v>谷本 卓也</v>
      </c>
      <c r="F64" s="90" t="str">
        <f>IFERROR(VLOOKUP(B64&amp;"-"&amp;1,'リスト'!$B:$D,3,FALSE),"")</f>
        <v>ｄｏＭｅ</v>
      </c>
      <c r="G64" s="91" t="str">
        <f>IFERROR(__xludf.DUMMYFUNCTION("SPARKLINE({1,0})"),"")</f>
        <v/>
      </c>
      <c r="H64" s="92" t="s">
        <v>346</v>
      </c>
      <c r="I64" s="92" t="s">
        <v>346</v>
      </c>
      <c r="J64" s="93" t="s">
        <v>346</v>
      </c>
      <c r="K64" s="94" t="str">
        <f>IFERROR(__xludf.DUMMYFUNCTION("SUMPRODUCT(--(REGEXMATCH(TO_TEXT(G64:J64), ""-"")), IFERROR(--(LEFT(G64:J64,FIND(""-"",G64:J64)-1)&gt;RIGHT(G64:J64,LEN(G64:J64)-FIND(""-"",G64:J64))),0)) &amp; ""-"" &amp; SUMPRODUCT(--(REGEXMATCH(TO_TEXT(G64:J64), ""-"")), IFERROR(--(LEFT(G64:J64,FIND(""-"",G64:J6"&amp;"4)-1)&lt;RIGHT(G64:J64,LEN(G64:J64)-FIND(""-"",G64:J64))),0))"),"3-0")</f>
        <v>3-0</v>
      </c>
      <c r="L64" s="95" t="str">
        <f>IF(COUNTA(G64,G67,G70,G73,H64,H67,H70,H73,I64,I67,I70,I73,J64,J67,J70,J73)=16,R64,"")</f>
        <v>1位</v>
      </c>
      <c r="M64" s="70"/>
      <c r="N64" s="96">
        <f>IFERROR(VALUE(LEFT(K64,FIND("-",K64)-1)),-1)</f>
        <v>3</v>
      </c>
      <c r="O64" s="97" t="str">
        <f>SUMPRODUCT(IFERROR(--(LEFT(G64:J64,FIND("-",G64:J64)-1)),0)) &amp; "/" &amp; (SUMPRODUCT(IFERROR(--(LEFT(G64:J64,FIND("-",G64:J64)-1)),0)) + SUMPRODUCT(IFERROR(--(RIGHT(G64:J64,LEN(G64:J64)-FIND("-",G64:J64))),0)))</f>
        <v>18/18</v>
      </c>
      <c r="P64" s="95" t="str">
        <f>IF((COUNTIF($N64,N64)+COUNTIF($N67,N64)+COUNTIF($N70,N64)+COUNTIF($N73,N64))=2, IFERROR(IFS(N64=$N67,IF(VALUE(LEFT(H64,FIND("-",H64)-1))&gt;VALUE(RIGHT(H64,LEN(H64)-FIND("-",H64))),1,0), N64=$N70,IF(VALUE(LEFT(I64,FIND("-",I64)-1))&gt;VALUE(RIGHT(I64,LEN(I64)-FIND("-",I64))),1,0), N64=$N73,IF(VALUE(LEFT(J64,FIND("-",J64)-1))&gt;VALUE(RIGHT(J64,LEN(J64)-FIND("-",J64))),1,0)), ""), "")</f>
        <v/>
      </c>
      <c r="Q64" s="98">
        <f t="array" ref="Q64">N64+IF(SUMPRODUCT(--({$N64;$N67;$N70;$N73}=N64))=2,P64*0.1,IF(SUMPRODUCT(--({$N64;$N67;$N70;$N73}=N64))&gt;=3,O65*0.01,0))</f>
        <v>3</v>
      </c>
      <c r="R64" s="95" t="str">
        <f t="array" ref="R64">_xlfn.RANK.EQ(Q64, {$Q64;$Q67;$Q70;$Q73}) &amp; "位"</f>
        <v>1位</v>
      </c>
      <c r="S64" s="99"/>
    </row>
    <row r="65" ht="5.25" customHeight="1">
      <c r="A65" s="70"/>
      <c r="B65" s="100"/>
      <c r="C65" s="101"/>
      <c r="D65" s="102"/>
      <c r="E65" s="102"/>
      <c r="F65" s="103"/>
      <c r="G65" s="31"/>
      <c r="H65" s="104"/>
      <c r="I65" s="104"/>
      <c r="J65" s="105"/>
      <c r="K65" s="106"/>
      <c r="L65" s="106"/>
      <c r="M65" s="70"/>
      <c r="N65" s="107"/>
      <c r="O65" s="108">
        <f>IFERROR(
  SUMPRODUCT(IFERROR(--(LEFT(G64:J64,FIND("-",G64:J64)-1)),0))
  /
  (SUMPRODUCT(IFERROR(--(LEFT(G64:J64,FIND("-",G64:J64)-1)),0)) + SUMPRODUCT(IFERROR(--(RIGHT(G64:J64,LEN(G64:J64)-FIND("-",G64:J64))),0)))
  , 0)</f>
        <v>1</v>
      </c>
      <c r="P65" s="106"/>
      <c r="Q65" s="106"/>
      <c r="R65" s="106"/>
      <c r="S65" s="99"/>
    </row>
    <row r="66" ht="18.75" customHeight="1">
      <c r="A66" s="70"/>
      <c r="B66" s="109"/>
      <c r="C66" s="110" t="str">
        <f>IFERROR(VLOOKUP(B64&amp;"-"&amp;2,'リスト'!$B:$D,2,FALSE),"")</f>
        <v>谷口 圭子</v>
      </c>
      <c r="D66" s="24"/>
      <c r="E66" s="24"/>
      <c r="F66" s="111" t="str">
        <f>IFERROR(VLOOKUP(B64&amp;"-"&amp;2,'リスト'!$B:$D,3,FALSE),"")</f>
        <v>レイリー</v>
      </c>
      <c r="G66" s="25"/>
      <c r="H66" s="112"/>
      <c r="I66" s="112"/>
      <c r="J66" s="113"/>
      <c r="K66" s="114"/>
      <c r="L66" s="114"/>
      <c r="M66" s="70"/>
      <c r="N66" s="115"/>
      <c r="O66" s="114"/>
      <c r="P66" s="114"/>
      <c r="Q66" s="114"/>
      <c r="R66" s="114"/>
      <c r="S66" s="99"/>
    </row>
    <row r="67" ht="18.75" customHeight="1">
      <c r="A67" s="70"/>
      <c r="B67" s="116">
        <f>B52+4</f>
        <v>18</v>
      </c>
      <c r="C67" s="89" t="str">
        <f>IFERROR(VLOOKUP(B67&amp;"-"&amp;1,'リスト'!$B:$D,2,FALSE),"")</f>
        <v>田中 憲一</v>
      </c>
      <c r="F67" s="153" t="str">
        <f>IFERROR(VLOOKUP(B67&amp;"-"&amp;1,'リスト'!$B:$D,3,FALSE),"")</f>
        <v>ポップテニスプラス</v>
      </c>
      <c r="G67" s="117" t="str">
        <f>IFERROR(MID(H64, FIND("-", H64) + 1, 100) &amp; "-" &amp; LEFT(H64, FIND("-", H64) - 1), "")</f>
        <v>0-6</v>
      </c>
      <c r="H67" s="118" t="str">
        <f>IFERROR(__xludf.DUMMYFUNCTION("SPARKLINE({1,0})"),"")</f>
        <v/>
      </c>
      <c r="I67" s="92" t="s">
        <v>346</v>
      </c>
      <c r="J67" s="93" t="s">
        <v>346</v>
      </c>
      <c r="K67" s="94" t="str">
        <f>IFERROR(__xludf.DUMMYFUNCTION("SUMPRODUCT(--(REGEXMATCH(TO_TEXT(G67:J67), ""-"")), IFERROR(--(LEFT(G67:J67,FIND(""-"",G67:J67)-1)&gt;RIGHT(G67:J67,LEN(G67:J67)-FIND(""-"",G67:J67))),0)) &amp; ""-"" &amp; SUMPRODUCT(--(REGEXMATCH(TO_TEXT(G67:J67), ""-"")), IFERROR(--(LEFT(G67:J67,FIND(""-"",G67:J6"&amp;"7)-1)&lt;RIGHT(G67:J67,LEN(G67:J67)-FIND(""-"",G67:J67))),0))"),"2-1")</f>
        <v>2-1</v>
      </c>
      <c r="L67" s="95" t="str">
        <f>IF(COUNTA(G64,G67,G70,G73,H64,H67,H70,H73,I64,I67,I70,I73,J64,J67,J70,J73)=16,R67,"")</f>
        <v>2位</v>
      </c>
      <c r="M67" s="70"/>
      <c r="N67" s="96">
        <f>IFERROR(VALUE(LEFT(K67,FIND("-",K67)-1)),-1)</f>
        <v>2</v>
      </c>
      <c r="O67" s="97" t="str">
        <f>SUMPRODUCT(IFERROR(--(LEFT(G67:J67,FIND("-",G67:J67)-1)),0)) &amp; "/" &amp; (SUMPRODUCT(IFERROR(--(LEFT(G67:J67,FIND("-",G67:J67)-1)),0)) + SUMPRODUCT(IFERROR(--(RIGHT(G67:J67,LEN(G67:J67)-FIND("-",G67:J67))),0)))</f>
        <v>12/18</v>
      </c>
      <c r="P67" s="95" t="str">
        <f>IF((COUNTIF($N64,N67)+COUNTIF($N67,N67)+COUNTIF($N70,N67)+COUNTIF($N73,N67))=2, IFERROR(IFS(N67=$N64,IF(VALUE(LEFT(G67,FIND("-",G67)-1))&gt;VALUE(RIGHT(G67,LEN(G67)-FIND("-",G67))),1,0), N67=$N70,IF(VALUE(LEFT(I67,FIND("-",I67)-1))&gt;VALUE(RIGHT(I67,LEN(I67)-FIND("-",I67))),1,0), N67=$N73,IF(VALUE(LEFT(J67,FIND("-",J67)-1))&gt;VALUE(RIGHT(J67,LEN(J67)-FIND("-",J67))),1,0)), ""), "")</f>
        <v/>
      </c>
      <c r="Q67" s="98">
        <f t="array" ref="Q67">N67+IF(SUMPRODUCT(--({$N64;$N67;$N70;$N73}=N67))=2,P67*0.1,IF(SUMPRODUCT(--({$N64;$N67;$N70;$N73}=N67))&gt;=3,O68*0.01,0))</f>
        <v>2</v>
      </c>
      <c r="R67" s="95" t="str">
        <f t="array" ref="R67">_xlfn.RANK.EQ(Q67, {$Q64;$Q67;$Q70;$Q73}) &amp; "位"</f>
        <v>2位</v>
      </c>
      <c r="S67" s="99"/>
    </row>
    <row r="68" ht="5.25" customHeight="1">
      <c r="A68" s="70"/>
      <c r="B68" s="100"/>
      <c r="C68" s="101"/>
      <c r="D68" s="102"/>
      <c r="E68" s="102"/>
      <c r="F68" s="103"/>
      <c r="G68" s="31"/>
      <c r="H68" s="104"/>
      <c r="I68" s="104"/>
      <c r="J68" s="105"/>
      <c r="K68" s="106"/>
      <c r="L68" s="106"/>
      <c r="M68" s="70"/>
      <c r="N68" s="107"/>
      <c r="O68" s="108">
        <f>IFERROR(
  SUMPRODUCT(IFERROR(--(LEFT(G67:J67,FIND("-",G67:J67)-1)),0))
  /
  (SUMPRODUCT(IFERROR(--(LEFT(G67:J67,FIND("-",G67:J67)-1)),0)) + SUMPRODUCT(IFERROR(--(RIGHT(G67:J67,LEN(G67:J67)-FIND("-",G67:J67))),0)))
  , 0)</f>
        <v>0.6666666667</v>
      </c>
      <c r="P68" s="106"/>
      <c r="Q68" s="106"/>
      <c r="R68" s="106"/>
      <c r="S68" s="99"/>
    </row>
    <row r="69" ht="18.75" customHeight="1">
      <c r="A69" s="70"/>
      <c r="B69" s="109"/>
      <c r="C69" s="110" t="str">
        <f>IFERROR(VLOOKUP(B67&amp;"-"&amp;2,'リスト'!$B:$D,2,FALSE),"")</f>
        <v>山﨑 弥生</v>
      </c>
      <c r="D69" s="24"/>
      <c r="E69" s="24"/>
      <c r="F69" s="111" t="str">
        <f>IFERROR(VLOOKUP(B67&amp;"-"&amp;2,'リスト'!$B:$D,3,FALSE),"")</f>
        <v>鳥取銀行</v>
      </c>
      <c r="G69" s="25"/>
      <c r="H69" s="112"/>
      <c r="I69" s="112"/>
      <c r="J69" s="113"/>
      <c r="K69" s="114"/>
      <c r="L69" s="114"/>
      <c r="M69" s="70"/>
      <c r="N69" s="115"/>
      <c r="O69" s="114"/>
      <c r="P69" s="114"/>
      <c r="Q69" s="114"/>
      <c r="R69" s="114"/>
      <c r="S69" s="99"/>
    </row>
    <row r="70" ht="18.75" customHeight="1">
      <c r="A70" s="70"/>
      <c r="B70" s="88">
        <f>B55+4</f>
        <v>19</v>
      </c>
      <c r="C70" s="89" t="str">
        <f>IFERROR(VLOOKUP(B70&amp;"-"&amp;1,'リスト'!$B:$D,2,FALSE),"")</f>
        <v>椿 誠</v>
      </c>
      <c r="F70" s="90" t="str">
        <f>IFERROR(VLOOKUP(B70&amp;"-"&amp;1,'リスト'!$B:$D,3,FALSE),"")</f>
        <v>フリー</v>
      </c>
      <c r="G70" s="117" t="str">
        <f>IFERROR(MID(I64, FIND("-", I64) + 1, 100) &amp; "-" &amp; LEFT(I64, FIND("-", I64) - 1), "")</f>
        <v>0-6</v>
      </c>
      <c r="H70" s="117" t="str">
        <f>IFERROR(MID(I67, FIND("-", I67) + 1, 100) &amp; "-" &amp; LEFT(I67, FIND("-", I67) - 1), "")</f>
        <v>0-6</v>
      </c>
      <c r="I70" s="118" t="str">
        <f>IFERROR(__xludf.DUMMYFUNCTION("SPARKLINE({1,0})"),"")</f>
        <v/>
      </c>
      <c r="J70" s="93" t="s">
        <v>346</v>
      </c>
      <c r="K70" s="94" t="str">
        <f>IFERROR(__xludf.DUMMYFUNCTION("SUMPRODUCT(--(REGEXMATCH(TO_TEXT(G70:J70), ""-"")), IFERROR(--(LEFT(G70:J70,FIND(""-"",G70:J70)-1)&gt;RIGHT(G70:J70,LEN(G70:J70)-FIND(""-"",G70:J70))),0)) &amp; ""-"" &amp; SUMPRODUCT(--(REGEXMATCH(TO_TEXT(G70:J70), ""-"")), IFERROR(--(LEFT(G70:J70,FIND(""-"",G70:J7"&amp;"0)-1)&lt;RIGHT(G70:J70,LEN(G70:J70)-FIND(""-"",G70:J70))),0))"),"1-2")</f>
        <v>1-2</v>
      </c>
      <c r="L70" s="95" t="str">
        <f>IF(COUNTA(G64,G67,G70,G73,H64,H67,H70,H73,I64,I67,I70,I73,J64,J67,J70,J73)=16,R70,"")</f>
        <v>3位</v>
      </c>
      <c r="M70" s="70"/>
      <c r="N70" s="96">
        <f>IFERROR(VALUE(LEFT(K70,FIND("-",K70)-1)),-1)</f>
        <v>1</v>
      </c>
      <c r="O70" s="97" t="str">
        <f>SUMPRODUCT(IFERROR(--(LEFT(G70:J70,FIND("-",G70:J70)-1)),0)) &amp; "/" &amp; (SUMPRODUCT(IFERROR(--(LEFT(G70:J70,FIND("-",G70:J70)-1)),0)) + SUMPRODUCT(IFERROR(--(RIGHT(G70:J70,LEN(G70:J70)-FIND("-",G70:J70))),0)))</f>
        <v>6/18</v>
      </c>
      <c r="P70" s="95" t="str">
        <f>IF((COUNTIF($N64,N70)+COUNTIF($N67,N70)+COUNTIF($N70,N70)+COUNTIF($N73,N70))=2, IFERROR(IFS(N70=$N64,IF(VALUE(LEFT(G70,FIND("-",G70)-1))&gt;VALUE(RIGHT(G70,LEN(G70)-FIND("-",G70))),1,0), N70=$N67,IF(VALUE(LEFT(H70,FIND("-",H70)-1))&gt;VALUE(RIGHT(H70,LEN(H70)-FIND("-",H70))),1,0), N70=$N73,IF(VALUE(LEFT(J70,FIND("-",J70)-1))&gt;VALUE(RIGHT(J70,LEN(J70)-FIND("-",J70))),1,0)), ""), "")</f>
        <v/>
      </c>
      <c r="Q70" s="98">
        <f t="array" ref="Q70">N70+IF(SUMPRODUCT(--({$N64;$N67;$N70;$N73}=N70))=2,P70*0.1,IF(SUMPRODUCT(--({$N64;$N67;$N70;$N73}=N70))&gt;=3,O71*0.01,0))</f>
        <v>1</v>
      </c>
      <c r="R70" s="95" t="str">
        <f t="array" ref="R70">_xlfn.RANK.EQ(Q70, {$Q64;$Q67;$Q70;$Q73}) &amp; "位"</f>
        <v>3位</v>
      </c>
      <c r="S70" s="99"/>
    </row>
    <row r="71" ht="5.25" customHeight="1">
      <c r="A71" s="70"/>
      <c r="B71" s="100"/>
      <c r="C71" s="101"/>
      <c r="D71" s="102"/>
      <c r="E71" s="102"/>
      <c r="F71" s="103"/>
      <c r="G71" s="31"/>
      <c r="H71" s="31"/>
      <c r="I71" s="104"/>
      <c r="J71" s="105"/>
      <c r="K71" s="106"/>
      <c r="L71" s="106"/>
      <c r="M71" s="70"/>
      <c r="N71" s="107"/>
      <c r="O71" s="108">
        <f>IFERROR(
  SUMPRODUCT(IFERROR(--(LEFT(G70:J70,FIND("-",G70:J70)-1)),0))
  /
  (SUMPRODUCT(IFERROR(--(LEFT(G70:J70,FIND("-",G70:J70)-1)),0)) + SUMPRODUCT(IFERROR(--(RIGHT(G70:J70,LEN(G70:J70)-FIND("-",G70:J70))),0)))
  , 0)</f>
        <v>0.3333333333</v>
      </c>
      <c r="P71" s="106"/>
      <c r="Q71" s="106"/>
      <c r="R71" s="106"/>
      <c r="S71" s="99"/>
    </row>
    <row r="72" ht="18.75" customHeight="1">
      <c r="A72" s="70"/>
      <c r="B72" s="109"/>
      <c r="C72" s="110" t="str">
        <f>IFERROR(VLOOKUP(B70&amp;"-"&amp;2,'リスト'!$B:$D,2,FALSE),"")</f>
        <v>椿 保奈瀬</v>
      </c>
      <c r="D72" s="24"/>
      <c r="E72" s="24"/>
      <c r="F72" s="111" t="str">
        <f>IFERROR(VLOOKUP(B70&amp;"-"&amp;2,'リスト'!$B:$D,3,FALSE),"")</f>
        <v>フリー</v>
      </c>
      <c r="G72" s="25"/>
      <c r="H72" s="25"/>
      <c r="I72" s="112"/>
      <c r="J72" s="113"/>
      <c r="K72" s="114"/>
      <c r="L72" s="114"/>
      <c r="M72" s="70"/>
      <c r="N72" s="115"/>
      <c r="O72" s="114"/>
      <c r="P72" s="114"/>
      <c r="Q72" s="114"/>
      <c r="R72" s="114"/>
      <c r="S72" s="99"/>
    </row>
    <row r="73" ht="18.75" customHeight="1">
      <c r="A73" s="70"/>
      <c r="B73" s="116">
        <f>B58+4</f>
        <v>20</v>
      </c>
      <c r="C73" s="89" t="str">
        <f>IFERROR(VLOOKUP(B73&amp;"-"&amp;1,'リスト'!$B:$D,2,FALSE),"")</f>
        <v>町田 正雄</v>
      </c>
      <c r="F73" s="90" t="str">
        <f>IFERROR(VLOOKUP(B73&amp;"-"&amp;1,'リスト'!$B:$D,3,FALSE),"")</f>
        <v>因幡打輪</v>
      </c>
      <c r="G73" s="119" t="str">
        <f>IFERROR(MID(J64, FIND("-", J64) + 1, 100) &amp; "-" &amp; LEFT(J64, FIND("-", J64) - 1), "")</f>
        <v>0-6</v>
      </c>
      <c r="H73" s="117" t="str">
        <f>IFERROR(MID(J67, FIND("-", J67) + 1, 100) &amp; "-" &amp; LEFT(J67, FIND("-", J67) - 1), "")</f>
        <v>0-6</v>
      </c>
      <c r="I73" s="117" t="str">
        <f>IFERROR(MID(J70, FIND("-", J70) + 1, 100) &amp; "-" &amp; LEFT(J70, FIND("-", J70) - 1), "")</f>
        <v>0-6</v>
      </c>
      <c r="J73" s="120" t="str">
        <f>IFERROR(__xludf.DUMMYFUNCTION("SPARKLINE({1,0})"),"")</f>
        <v/>
      </c>
      <c r="K73" s="121" t="str">
        <f>IFERROR(__xludf.DUMMYFUNCTION("SUMPRODUCT(--(REGEXMATCH(TO_TEXT(G73:J73), ""-"")), IFERROR(--(LEFT(G73:J73,FIND(""-"",G73:J73)-1)&gt;RIGHT(G73:J73,LEN(G73:J73)-FIND(""-"",G73:J73))),0)) &amp; ""-"" &amp; SUMPRODUCT(--(REGEXMATCH(TO_TEXT(G73:J73), ""-"")), IFERROR(--(LEFT(G73:J73,FIND(""-"",G73:J7"&amp;"3)-1)&lt;RIGHT(G73:J73,LEN(G73:J73)-FIND(""-"",G73:J73))),0))"),"0-3")</f>
        <v>0-3</v>
      </c>
      <c r="L73" s="95" t="str">
        <f>IF(COUNTA(G64,G67,G70,G73,H64,H67,H70,H73,I64,I67,I70,I73,J64,J67,J70,J73)=16,R73,"")</f>
        <v>4位</v>
      </c>
      <c r="M73" s="70"/>
      <c r="N73" s="96">
        <f>IFERROR(VALUE(LEFT(K73,FIND("-",K73)-1)),-1)</f>
        <v>0</v>
      </c>
      <c r="O73" s="97" t="str">
        <f>SUMPRODUCT(IFERROR(--(LEFT(G73:J73,FIND("-",G73:J73)-1)),0)) &amp; "/" &amp; (SUMPRODUCT(IFERROR(--(LEFT(G73:J73,FIND("-",G73:J73)-1)),0)) + SUMPRODUCT(IFERROR(--(RIGHT(G73:J73,LEN(G73:J73)-FIND("-",G73:J73))),0)))</f>
        <v>0/18</v>
      </c>
      <c r="P73" s="95" t="str">
        <f>IF((COUNTIF($N64,N73)+COUNTIF($N67,N73)+COUNTIF($N70,N73)+COUNTIF($N73,N73))=2, IFERROR(IFS(N73=$N64,IF(VALUE(LEFT(G73,FIND("-",G73)-1))&gt;VALUE(RIGHT(G73,LEN(G73)-FIND("-",G73))),1,0), N73=$N67,IF(VALUE(LEFT(H73,FIND("-",H73)-1))&gt;VALUE(RIGHT(H73,LEN(H73)-FIND("-",H73))),1,0), N73=$N70,IF(VALUE(LEFT(I73,FIND("-",I73)-1))&gt;VALUE(RIGHT(I73,LEN(I73)-FIND("-",I73))),1,0)), ""), "")</f>
        <v/>
      </c>
      <c r="Q73" s="98">
        <f t="array" ref="Q73">N73+IF(SUMPRODUCT(--({$N64;$N67;$N70;$N73}=N73))=2,P73*0.1,IF(SUMPRODUCT(--({$N64;$N67;$N70;$N73}=N73))&gt;=3,O74*0.01,0))</f>
        <v>0</v>
      </c>
      <c r="R73" s="95" t="str">
        <f t="array" ref="R73">_xlfn.RANK.EQ(Q73, {$Q64;$Q67;$Q70;$Q73}) &amp; "位"</f>
        <v>4位</v>
      </c>
      <c r="S73" s="99"/>
    </row>
    <row r="74" ht="5.25" customHeight="1">
      <c r="A74" s="70"/>
      <c r="B74" s="100"/>
      <c r="C74" s="101"/>
      <c r="D74" s="102"/>
      <c r="E74" s="102"/>
      <c r="F74" s="103"/>
      <c r="G74" s="31"/>
      <c r="H74" s="31"/>
      <c r="I74" s="31"/>
      <c r="J74" s="38"/>
      <c r="K74" s="107"/>
      <c r="L74" s="106"/>
      <c r="M74" s="70"/>
      <c r="N74" s="107"/>
      <c r="O74" s="108">
        <f>IFERROR(
  SUMPRODUCT(IFERROR(--(LEFT(G73:J73,FIND("-",G73:J73)-1)),0))
  /
  (SUMPRODUCT(IFERROR(--(LEFT(G73:J73,FIND("-",G73:J73)-1)),0)) + SUMPRODUCT(IFERROR(--(RIGHT(G73:J73,LEN(G73:J73)-FIND("-",G73:J73))),0)))
  , 0)</f>
        <v>0</v>
      </c>
      <c r="P74" s="106"/>
      <c r="Q74" s="106"/>
      <c r="R74" s="106"/>
      <c r="S74" s="99"/>
    </row>
    <row r="75" ht="18.75" customHeight="1">
      <c r="A75" s="70"/>
      <c r="B75" s="122"/>
      <c r="C75" s="123" t="str">
        <f>IFERROR(VLOOKUP(B73&amp;"-"&amp;2,'リスト'!$B:$D,2,FALSE),"")</f>
        <v>町田 聖子</v>
      </c>
      <c r="D75" s="124"/>
      <c r="E75" s="124"/>
      <c r="F75" s="125" t="str">
        <f>IFERROR(VLOOKUP(B73&amp;"-"&amp;2,'リスト'!$B:$D,3,FALSE),"")</f>
        <v>因幡打輪</v>
      </c>
      <c r="G75" s="126"/>
      <c r="H75" s="126"/>
      <c r="I75" s="126"/>
      <c r="J75" s="127"/>
      <c r="K75" s="128"/>
      <c r="L75" s="129"/>
      <c r="M75" s="70"/>
      <c r="N75" s="128"/>
      <c r="O75" s="129"/>
      <c r="P75" s="129"/>
      <c r="Q75" s="129"/>
      <c r="R75" s="129"/>
      <c r="S75" s="99"/>
    </row>
    <row r="76">
      <c r="A76" s="70"/>
      <c r="B76" s="70"/>
      <c r="C76" s="70"/>
      <c r="D76" s="70"/>
      <c r="E76" s="70"/>
      <c r="F76" s="72"/>
      <c r="G76" s="73"/>
      <c r="H76" s="73"/>
      <c r="I76" s="73"/>
      <c r="J76" s="73"/>
      <c r="K76" s="70"/>
      <c r="L76" s="70"/>
      <c r="M76" s="70"/>
      <c r="N76" s="70"/>
      <c r="O76" s="70"/>
      <c r="P76" s="70"/>
      <c r="Q76" s="70"/>
      <c r="R76" s="70"/>
      <c r="S76" s="70"/>
    </row>
    <row r="77" ht="32.25" customHeight="1">
      <c r="A77" s="70"/>
      <c r="B77" s="74" t="s">
        <v>249</v>
      </c>
      <c r="D77" s="70"/>
      <c r="E77" s="75" t="s">
        <v>193</v>
      </c>
      <c r="F77" s="72"/>
      <c r="G77" s="73"/>
      <c r="H77" s="73"/>
      <c r="I77" s="76" t="str">
        <f>TRIM('予選'!$A$1)</f>
        <v>　 　　　　　 サンプル</v>
      </c>
      <c r="M77" s="70"/>
      <c r="N77" s="70"/>
      <c r="O77" s="70"/>
      <c r="P77" s="70"/>
      <c r="Q77" s="70"/>
      <c r="R77" s="70"/>
      <c r="S77" s="70"/>
    </row>
    <row r="78">
      <c r="A78" s="70"/>
      <c r="B78" s="77" t="s">
        <v>340</v>
      </c>
      <c r="C78" s="78"/>
      <c r="D78" s="78"/>
      <c r="E78" s="78"/>
      <c r="F78" s="79"/>
      <c r="G78" s="80" t="str">
        <f>LEFT(C79, FIND(" ", C79 &amp; " ") - 1) &amp; "・" &amp; LEFT(C81, FIND(" ", C81 &amp; " ") - 1)
</f>
        <v>杉野・中村</v>
      </c>
      <c r="H78" s="80" t="str">
        <f>LEFT(C82, FIND(" ", C82 &amp; " ") - 1) &amp; "・" &amp; LEFT(C84, FIND(" ", C84 &amp; " ") - 1)
</f>
        <v>小谷・青木</v>
      </c>
      <c r="I78" s="80" t="str">
        <f>LEFT(C85, FIND(" ", C85 &amp; " ") - 1) &amp; "・" &amp; LEFT(C87, FIND(" ", C87 &amp; " ") - 1)
</f>
        <v>朝倉・朝倉</v>
      </c>
      <c r="J78" s="81" t="str">
        <f>LEFT(C88, FIND(" ", C88 &amp; " ") - 1) &amp; "・" &amp; LEFT(C90, FIND(" ", C90 &amp; " ") - 1)
</f>
        <v>山本・濱田</v>
      </c>
      <c r="K78" s="82" t="s">
        <v>341</v>
      </c>
      <c r="L78" s="83" t="s">
        <v>198</v>
      </c>
      <c r="M78" s="70"/>
      <c r="N78" s="84" t="s">
        <v>342</v>
      </c>
      <c r="O78" s="85" t="s">
        <v>343</v>
      </c>
      <c r="P78" s="86" t="s">
        <v>344</v>
      </c>
      <c r="Q78" s="86" t="s">
        <v>345</v>
      </c>
      <c r="R78" s="83" t="s">
        <v>198</v>
      </c>
      <c r="S78" s="87"/>
    </row>
    <row r="79" ht="22.5" customHeight="1">
      <c r="A79" s="70"/>
      <c r="B79" s="88">
        <f>B64+4</f>
        <v>21</v>
      </c>
      <c r="C79" s="89" t="str">
        <f>IFERROR(VLOOKUP(B79&amp;"-"&amp;1,'リスト'!$B:$D,2,FALSE),"")</f>
        <v>杉野 隆志</v>
      </c>
      <c r="F79" s="90" t="str">
        <f>IFERROR(VLOOKUP(B79&amp;"-"&amp;1,'リスト'!$B:$D,3,FALSE),"")</f>
        <v>アスペック</v>
      </c>
      <c r="G79" s="91" t="str">
        <f>IFERROR(__xludf.DUMMYFUNCTION("SPARKLINE({1,0})"),"")</f>
        <v/>
      </c>
      <c r="H79" s="92" t="s">
        <v>346</v>
      </c>
      <c r="I79" s="92" t="s">
        <v>346</v>
      </c>
      <c r="J79" s="93" t="s">
        <v>346</v>
      </c>
      <c r="K79" s="94" t="str">
        <f>IFERROR(__xludf.DUMMYFUNCTION("SUMPRODUCT(--(REGEXMATCH(TO_TEXT(G79:J79), ""-"")), IFERROR(--(LEFT(G79:J79,FIND(""-"",G79:J79)-1)&gt;RIGHT(G79:J79,LEN(G79:J79)-FIND(""-"",G79:J79))),0)) &amp; ""-"" &amp; SUMPRODUCT(--(REGEXMATCH(TO_TEXT(G79:J79), ""-"")), IFERROR(--(LEFT(G79:J79,FIND(""-"",G79:J7"&amp;"9)-1)&lt;RIGHT(G79:J79,LEN(G79:J79)-FIND(""-"",G79:J79))),0))"),"3-0")</f>
        <v>3-0</v>
      </c>
      <c r="L79" s="95" t="str">
        <f>IF(COUNTA(G79,G82,G85,G88,H79,H82,H85,H88,I79,I82,I85,I88,J79,J82,J85,J88)=16,R79,"")</f>
        <v>1位</v>
      </c>
      <c r="M79" s="70"/>
      <c r="N79" s="96">
        <f>IFERROR(VALUE(LEFT(K79,FIND("-",K79)-1)),-1)</f>
        <v>3</v>
      </c>
      <c r="O79" s="97" t="str">
        <f>SUMPRODUCT(IFERROR(--(LEFT(G79:J79,FIND("-",G79:J79)-1)),0)) &amp; "/" &amp; (SUMPRODUCT(IFERROR(--(LEFT(G79:J79,FIND("-",G79:J79)-1)),0)) + SUMPRODUCT(IFERROR(--(RIGHT(G79:J79,LEN(G79:J79)-FIND("-",G79:J79))),0)))</f>
        <v>18/18</v>
      </c>
      <c r="P79" s="95" t="str">
        <f>IF((COUNTIF($N79,N79)+COUNTIF($N82,N79)+COUNTIF($N85,N79)+COUNTIF($N88,N79))=2, IFERROR(IFS(N79=$N82,IF(VALUE(LEFT(H79,FIND("-",H79)-1))&gt;VALUE(RIGHT(H79,LEN(H79)-FIND("-",H79))),1,0), N79=$N85,IF(VALUE(LEFT(I79,FIND("-",I79)-1))&gt;VALUE(RIGHT(I79,LEN(I79)-FIND("-",I79))),1,0), N79=$N88,IF(VALUE(LEFT(J79,FIND("-",J79)-1))&gt;VALUE(RIGHT(J79,LEN(J79)-FIND("-",J79))),1,0)), ""), "")</f>
        <v/>
      </c>
      <c r="Q79" s="98">
        <f t="array" ref="Q79">N79+IF(SUMPRODUCT(--({$N79;$N82;$N85;$N88}=N79))=2,P79*0.1,IF(SUMPRODUCT(--({$N79;$N82;$N85;$N88}=N79))&gt;=3,O80*0.01,0))</f>
        <v>3</v>
      </c>
      <c r="R79" s="95" t="str">
        <f t="array" ref="R79">_xlfn.RANK.EQ(Q79, {$Q79;$Q82;$Q85;$Q88}) &amp; "位"</f>
        <v>1位</v>
      </c>
      <c r="S79" s="99"/>
    </row>
    <row r="80" ht="5.25" customHeight="1">
      <c r="A80" s="70"/>
      <c r="B80" s="100"/>
      <c r="C80" s="101"/>
      <c r="D80" s="102"/>
      <c r="E80" s="102"/>
      <c r="F80" s="103"/>
      <c r="G80" s="31"/>
      <c r="H80" s="104"/>
      <c r="I80" s="104"/>
      <c r="J80" s="105"/>
      <c r="K80" s="106"/>
      <c r="L80" s="106"/>
      <c r="M80" s="70"/>
      <c r="N80" s="107"/>
      <c r="O80" s="108">
        <f>IFERROR(
  SUMPRODUCT(IFERROR(--(LEFT(G79:J79,FIND("-",G79:J79)-1)),0))
  /
  (SUMPRODUCT(IFERROR(--(LEFT(G79:J79,FIND("-",G79:J79)-1)),0)) + SUMPRODUCT(IFERROR(--(RIGHT(G79:J79,LEN(G79:J79)-FIND("-",G79:J79))),0)))
  , 0)</f>
        <v>1</v>
      </c>
      <c r="P80" s="106"/>
      <c r="Q80" s="106"/>
      <c r="R80" s="106"/>
      <c r="S80" s="99"/>
    </row>
    <row r="81" ht="18.75" customHeight="1">
      <c r="A81" s="70"/>
      <c r="B81" s="109"/>
      <c r="C81" s="110" t="str">
        <f>IFERROR(VLOOKUP(B79&amp;"-"&amp;2,'リスト'!$B:$D,2,FALSE),"")</f>
        <v>中村 公恵</v>
      </c>
      <c r="D81" s="24"/>
      <c r="E81" s="24"/>
      <c r="F81" s="111" t="str">
        <f>IFERROR(VLOOKUP(B79&amp;"-"&amp;2,'リスト'!$B:$D,3,FALSE),"")</f>
        <v>田園</v>
      </c>
      <c r="G81" s="25"/>
      <c r="H81" s="112"/>
      <c r="I81" s="112"/>
      <c r="J81" s="113"/>
      <c r="K81" s="114"/>
      <c r="L81" s="114"/>
      <c r="M81" s="70"/>
      <c r="N81" s="115"/>
      <c r="O81" s="114"/>
      <c r="P81" s="114"/>
      <c r="Q81" s="114"/>
      <c r="R81" s="114"/>
      <c r="S81" s="99"/>
    </row>
    <row r="82" ht="18.75" customHeight="1">
      <c r="A82" s="70"/>
      <c r="B82" s="116">
        <f>B67+4</f>
        <v>22</v>
      </c>
      <c r="C82" s="89" t="str">
        <f>IFERROR(VLOOKUP(B82&amp;"-"&amp;1,'リスト'!$B:$D,2,FALSE),"")</f>
        <v>小谷 神一郎</v>
      </c>
      <c r="F82" s="90" t="str">
        <f>IFERROR(VLOOKUP(B82&amp;"-"&amp;1,'リスト'!$B:$D,3,FALSE),"")</f>
        <v>フリー</v>
      </c>
      <c r="G82" s="117" t="str">
        <f>IFERROR(MID(H79, FIND("-", H79) + 1, 100) &amp; "-" &amp; LEFT(H79, FIND("-", H79) - 1), "")</f>
        <v>0-6</v>
      </c>
      <c r="H82" s="118" t="str">
        <f>IFERROR(__xludf.DUMMYFUNCTION("SPARKLINE({1,0})"),"")</f>
        <v/>
      </c>
      <c r="I82" s="92" t="s">
        <v>346</v>
      </c>
      <c r="J82" s="93" t="s">
        <v>346</v>
      </c>
      <c r="K82" s="94" t="str">
        <f>IFERROR(__xludf.DUMMYFUNCTION("SUMPRODUCT(--(REGEXMATCH(TO_TEXT(G82:J82), ""-"")), IFERROR(--(LEFT(G82:J82,FIND(""-"",G82:J82)-1)&gt;RIGHT(G82:J82,LEN(G82:J82)-FIND(""-"",G82:J82))),0)) &amp; ""-"" &amp; SUMPRODUCT(--(REGEXMATCH(TO_TEXT(G82:J82), ""-"")), IFERROR(--(LEFT(G82:J82,FIND(""-"",G82:J8"&amp;"2)-1)&lt;RIGHT(G82:J82,LEN(G82:J82)-FIND(""-"",G82:J82))),0))"),"2-1")</f>
        <v>2-1</v>
      </c>
      <c r="L82" s="95" t="str">
        <f>IF(COUNTA(G79,G82,G85,G88,H79,H82,H85,H88,I79,I82,I85,I88,J79,J82,J85,J88)=16,R82,"")</f>
        <v>2位</v>
      </c>
      <c r="M82" s="70"/>
      <c r="N82" s="96">
        <f>IFERROR(VALUE(LEFT(K82,FIND("-",K82)-1)),-1)</f>
        <v>2</v>
      </c>
      <c r="O82" s="97" t="str">
        <f>SUMPRODUCT(IFERROR(--(LEFT(G82:J82,FIND("-",G82:J82)-1)),0)) &amp; "/" &amp; (SUMPRODUCT(IFERROR(--(LEFT(G82:J82,FIND("-",G82:J82)-1)),0)) + SUMPRODUCT(IFERROR(--(RIGHT(G82:J82,LEN(G82:J82)-FIND("-",G82:J82))),0)))</f>
        <v>12/18</v>
      </c>
      <c r="P82" s="95" t="str">
        <f>IF((COUNTIF($N79,N82)+COUNTIF($N82,N82)+COUNTIF($N85,N82)+COUNTIF($N88,N82))=2, IFERROR(IFS(N82=$N79,IF(VALUE(LEFT(G82,FIND("-",G82)-1))&gt;VALUE(RIGHT(G82,LEN(G82)-FIND("-",G82))),1,0), N82=$N85,IF(VALUE(LEFT(I82,FIND("-",I82)-1))&gt;VALUE(RIGHT(I82,LEN(I82)-FIND("-",I82))),1,0), N82=$N88,IF(VALUE(LEFT(J82,FIND("-",J82)-1))&gt;VALUE(RIGHT(J82,LEN(J82)-FIND("-",J82))),1,0)), ""), "")</f>
        <v/>
      </c>
      <c r="Q82" s="98">
        <f t="array" ref="Q82">N82+IF(SUMPRODUCT(--({$N79;$N82;$N85;$N88}=N82))=2,P82*0.1,IF(SUMPRODUCT(--({$N79;$N82;$N85;$N88}=N82))&gt;=3,O83*0.01,0))</f>
        <v>2</v>
      </c>
      <c r="R82" s="95" t="str">
        <f t="array" ref="R82">_xlfn.RANK.EQ(Q82, {$Q79;$Q82;$Q85;$Q88}) &amp; "位"</f>
        <v>2位</v>
      </c>
      <c r="S82" s="99"/>
    </row>
    <row r="83" ht="5.25" customHeight="1">
      <c r="A83" s="70"/>
      <c r="B83" s="100"/>
      <c r="C83" s="101"/>
      <c r="D83" s="102"/>
      <c r="E83" s="102"/>
      <c r="F83" s="103"/>
      <c r="G83" s="31"/>
      <c r="H83" s="104"/>
      <c r="I83" s="104"/>
      <c r="J83" s="105"/>
      <c r="K83" s="106"/>
      <c r="L83" s="106"/>
      <c r="M83" s="70"/>
      <c r="N83" s="107"/>
      <c r="O83" s="108">
        <f>IFERROR(
  SUMPRODUCT(IFERROR(--(LEFT(G82:J82,FIND("-",G82:J82)-1)),0))
  /
  (SUMPRODUCT(IFERROR(--(LEFT(G82:J82,FIND("-",G82:J82)-1)),0)) + SUMPRODUCT(IFERROR(--(RIGHT(G82:J82,LEN(G82:J82)-FIND("-",G82:J82))),0)))
  , 0)</f>
        <v>0.6666666667</v>
      </c>
      <c r="P83" s="106"/>
      <c r="Q83" s="106"/>
      <c r="R83" s="106"/>
      <c r="S83" s="99"/>
    </row>
    <row r="84" ht="18.75" customHeight="1">
      <c r="A84" s="70"/>
      <c r="B84" s="109"/>
      <c r="C84" s="110" t="str">
        <f>IFERROR(VLOOKUP(B82&amp;"-"&amp;2,'リスト'!$B:$D,2,FALSE),"")</f>
        <v>青木 楓</v>
      </c>
      <c r="D84" s="24"/>
      <c r="E84" s="24"/>
      <c r="F84" s="111" t="str">
        <f>IFERROR(VLOOKUP(B82&amp;"-"&amp;2,'リスト'!$B:$D,3,FALSE),"")</f>
        <v>フリー</v>
      </c>
      <c r="G84" s="25"/>
      <c r="H84" s="112"/>
      <c r="I84" s="112"/>
      <c r="J84" s="113"/>
      <c r="K84" s="114"/>
      <c r="L84" s="114"/>
      <c r="M84" s="70"/>
      <c r="N84" s="115"/>
      <c r="O84" s="114"/>
      <c r="P84" s="114"/>
      <c r="Q84" s="114"/>
      <c r="R84" s="114"/>
      <c r="S84" s="99"/>
    </row>
    <row r="85" ht="18.75" customHeight="1">
      <c r="A85" s="70"/>
      <c r="B85" s="88">
        <f>B70+4</f>
        <v>23</v>
      </c>
      <c r="C85" s="89" t="str">
        <f>IFERROR(VLOOKUP(B85&amp;"-"&amp;1,'リスト'!$B:$D,2,FALSE),"")</f>
        <v>朝倉 章順</v>
      </c>
      <c r="F85" s="90" t="str">
        <f>IFERROR(VLOOKUP(B85&amp;"-"&amp;1,'リスト'!$B:$D,3,FALSE),"")</f>
        <v>ロランギャロス</v>
      </c>
      <c r="G85" s="117" t="str">
        <f>IFERROR(MID(I79, FIND("-", I79) + 1, 100) &amp; "-" &amp; LEFT(I79, FIND("-", I79) - 1), "")</f>
        <v>0-6</v>
      </c>
      <c r="H85" s="117" t="str">
        <f>IFERROR(MID(I82, FIND("-", I82) + 1, 100) &amp; "-" &amp; LEFT(I82, FIND("-", I82) - 1), "")</f>
        <v>0-6</v>
      </c>
      <c r="I85" s="118" t="str">
        <f>IFERROR(__xludf.DUMMYFUNCTION("SPARKLINE({1,0})"),"")</f>
        <v/>
      </c>
      <c r="J85" s="93" t="s">
        <v>346</v>
      </c>
      <c r="K85" s="94" t="str">
        <f>IFERROR(__xludf.DUMMYFUNCTION("SUMPRODUCT(--(REGEXMATCH(TO_TEXT(G85:J85), ""-"")), IFERROR(--(LEFT(G85:J85,FIND(""-"",G85:J85)-1)&gt;RIGHT(G85:J85,LEN(G85:J85)-FIND(""-"",G85:J85))),0)) &amp; ""-"" &amp; SUMPRODUCT(--(REGEXMATCH(TO_TEXT(G85:J85), ""-"")), IFERROR(--(LEFT(G85:J85,FIND(""-"",G85:J8"&amp;"5)-1)&lt;RIGHT(G85:J85,LEN(G85:J85)-FIND(""-"",G85:J85))),0))"),"1-2")</f>
        <v>1-2</v>
      </c>
      <c r="L85" s="95" t="str">
        <f>IF(COUNTA(G79,G82,G85,G88,H79,H82,H85,H88,I79,I82,I85,I88,J79,J82,J85,J88)=16,R85,"")</f>
        <v>3位</v>
      </c>
      <c r="M85" s="70"/>
      <c r="N85" s="96">
        <f>IFERROR(VALUE(LEFT(K85,FIND("-",K85)-1)),-1)</f>
        <v>1</v>
      </c>
      <c r="O85" s="97" t="str">
        <f>SUMPRODUCT(IFERROR(--(LEFT(G85:J85,FIND("-",G85:J85)-1)),0)) &amp; "/" &amp; (SUMPRODUCT(IFERROR(--(LEFT(G85:J85,FIND("-",G85:J85)-1)),0)) + SUMPRODUCT(IFERROR(--(RIGHT(G85:J85,LEN(G85:J85)-FIND("-",G85:J85))),0)))</f>
        <v>6/18</v>
      </c>
      <c r="P85" s="95" t="str">
        <f>IF((COUNTIF($N79,N85)+COUNTIF($N82,N85)+COUNTIF($N85,N85)+COUNTIF($N88,N85))=2, IFERROR(IFS(N85=$N79,IF(VALUE(LEFT(G85,FIND("-",G85)-1))&gt;VALUE(RIGHT(G85,LEN(G85)-FIND("-",G85))),1,0), N85=$N82,IF(VALUE(LEFT(H85,FIND("-",H85)-1))&gt;VALUE(RIGHT(H85,LEN(H85)-FIND("-",H85))),1,0), N85=$N88,IF(VALUE(LEFT(J85,FIND("-",J85)-1))&gt;VALUE(RIGHT(J85,LEN(J85)-FIND("-",J85))),1,0)), ""), "")</f>
        <v/>
      </c>
      <c r="Q85" s="98">
        <f t="array" ref="Q85">N85+IF(SUMPRODUCT(--({$N79;$N82;$N85;$N88}=N85))=2,P85*0.1,IF(SUMPRODUCT(--({$N79;$N82;$N85;$N88}=N85))&gt;=3,O86*0.01,0))</f>
        <v>1</v>
      </c>
      <c r="R85" s="95" t="str">
        <f t="array" ref="R85">_xlfn.RANK.EQ(Q85, {$Q79;$Q82;$Q85;$Q88}) &amp; "位"</f>
        <v>3位</v>
      </c>
      <c r="S85" s="99"/>
    </row>
    <row r="86" ht="5.25" customHeight="1">
      <c r="A86" s="70"/>
      <c r="B86" s="100"/>
      <c r="C86" s="101"/>
      <c r="D86" s="102"/>
      <c r="E86" s="102"/>
      <c r="F86" s="103"/>
      <c r="G86" s="31"/>
      <c r="H86" s="31"/>
      <c r="I86" s="104"/>
      <c r="J86" s="105"/>
      <c r="K86" s="106"/>
      <c r="L86" s="106"/>
      <c r="M86" s="70"/>
      <c r="N86" s="107"/>
      <c r="O86" s="108">
        <f>IFERROR(
  SUMPRODUCT(IFERROR(--(LEFT(G85:J85,FIND("-",G85:J85)-1)),0))
  /
  (SUMPRODUCT(IFERROR(--(LEFT(G85:J85,FIND("-",G85:J85)-1)),0)) + SUMPRODUCT(IFERROR(--(RIGHT(G85:J85,LEN(G85:J85)-FIND("-",G85:J85))),0)))
  , 0)</f>
        <v>0.3333333333</v>
      </c>
      <c r="P86" s="106"/>
      <c r="Q86" s="106"/>
      <c r="R86" s="106"/>
      <c r="S86" s="99"/>
    </row>
    <row r="87" ht="18.75" customHeight="1">
      <c r="A87" s="70"/>
      <c r="B87" s="109"/>
      <c r="C87" s="110" t="str">
        <f>IFERROR(VLOOKUP(B85&amp;"-"&amp;2,'リスト'!$B:$D,2,FALSE),"")</f>
        <v>朝倉 加世子</v>
      </c>
      <c r="D87" s="24"/>
      <c r="E87" s="24"/>
      <c r="F87" s="111" t="str">
        <f>IFERROR(VLOOKUP(B85&amp;"-"&amp;2,'リスト'!$B:$D,3,FALSE),"")</f>
        <v>ロランギャロス</v>
      </c>
      <c r="G87" s="25"/>
      <c r="H87" s="25"/>
      <c r="I87" s="112"/>
      <c r="J87" s="113"/>
      <c r="K87" s="114"/>
      <c r="L87" s="114"/>
      <c r="M87" s="70"/>
      <c r="N87" s="115"/>
      <c r="O87" s="114"/>
      <c r="P87" s="114"/>
      <c r="Q87" s="114"/>
      <c r="R87" s="114"/>
      <c r="S87" s="99"/>
    </row>
    <row r="88" ht="18.75" customHeight="1">
      <c r="A88" s="70"/>
      <c r="B88" s="116">
        <f>B73+4</f>
        <v>24</v>
      </c>
      <c r="C88" s="89" t="str">
        <f>IFERROR(VLOOKUP(B88&amp;"-"&amp;1,'リスト'!$B:$D,2,FALSE),"")</f>
        <v>山本 和弥</v>
      </c>
      <c r="F88" s="90" t="str">
        <f>IFERROR(VLOOKUP(B88&amp;"-"&amp;1,'リスト'!$B:$D,3,FALSE),"")</f>
        <v>オレンジ</v>
      </c>
      <c r="G88" s="119" t="str">
        <f>IFERROR(MID(J79, FIND("-", J79) + 1, 100) &amp; "-" &amp; LEFT(J79, FIND("-", J79) - 1), "")</f>
        <v>0-6</v>
      </c>
      <c r="H88" s="117" t="str">
        <f>IFERROR(MID(J82, FIND("-", J82) + 1, 100) &amp; "-" &amp; LEFT(J82, FIND("-", J82) - 1), "")</f>
        <v>0-6</v>
      </c>
      <c r="I88" s="117" t="str">
        <f>IFERROR(MID(J85, FIND("-", J85) + 1, 100) &amp; "-" &amp; LEFT(J85, FIND("-", J85) - 1), "")</f>
        <v>0-6</v>
      </c>
      <c r="J88" s="131" t="str">
        <f>IFERROR(__xludf.DUMMYFUNCTION("SPARKLINE({1,0})"),"")</f>
        <v/>
      </c>
      <c r="K88" s="121" t="str">
        <f>IFERROR(__xludf.DUMMYFUNCTION("SUMPRODUCT(--(REGEXMATCH(TO_TEXT(G88:J88), ""-"")), IFERROR(--(LEFT(G88:J88,FIND(""-"",G88:J88)-1)&gt;RIGHT(G88:J88,LEN(G88:J88)-FIND(""-"",G88:J88))),0)) &amp; ""-"" &amp; SUMPRODUCT(--(REGEXMATCH(TO_TEXT(G88:J88), ""-"")), IFERROR(--(LEFT(G88:J88,FIND(""-"",G88:J8"&amp;"8)-1)&lt;RIGHT(G88:J88,LEN(G88:J88)-FIND(""-"",G88:J88))),0))"),"0-3")</f>
        <v>0-3</v>
      </c>
      <c r="L88" s="95" t="str">
        <f>IF(COUNTA(G79,G82,G85,G88,H79,H82,H85,H88,I79,I82,I85,I88,J79,J82,J85,J88)=16,R88,"")</f>
        <v>4位</v>
      </c>
      <c r="M88" s="70"/>
      <c r="N88" s="96">
        <f>IFERROR(VALUE(LEFT(K88,FIND("-",K88)-1)),-1)</f>
        <v>0</v>
      </c>
      <c r="O88" s="97" t="str">
        <f>SUMPRODUCT(IFERROR(--(LEFT(G88:J88,FIND("-",G88:J88)-1)),0)) &amp; "/" &amp; (SUMPRODUCT(IFERROR(--(LEFT(G88:J88,FIND("-",G88:J88)-1)),0)) + SUMPRODUCT(IFERROR(--(RIGHT(G88:J88,LEN(G88:J88)-FIND("-",G88:J88))),0)))</f>
        <v>0/18</v>
      </c>
      <c r="P88" s="95" t="str">
        <f>IF((COUNTIF($N79,N88)+COUNTIF($N82,N88)+COUNTIF($N85,N88)+COUNTIF($N88,N88))=2, IFERROR(IFS(N88=$N79,IF(VALUE(LEFT(G88,FIND("-",G88)-1))&gt;VALUE(RIGHT(G88,LEN(G88)-FIND("-",G88))),1,0), N88=$N82,IF(VALUE(LEFT(H88,FIND("-",H88)-1))&gt;VALUE(RIGHT(H88,LEN(H88)-FIND("-",H88))),1,0), N88=$N85,IF(VALUE(LEFT(I88,FIND("-",I88)-1))&gt;VALUE(RIGHT(I88,LEN(I88)-FIND("-",I88))),1,0)), ""), "")</f>
        <v/>
      </c>
      <c r="Q88" s="98">
        <f t="array" ref="Q88">N88+IF(SUMPRODUCT(--({$N79;$N82;$N85;$N88}=N88))=2,P88*0.1,IF(SUMPRODUCT(--({$N79;$N82;$N85;$N88}=N88))&gt;=3,O89*0.01,0))</f>
        <v>0</v>
      </c>
      <c r="R88" s="95" t="str">
        <f t="array" ref="R88">_xlfn.RANK.EQ(Q88, {$Q79;$Q82;$Q85;$Q88}) &amp; "位"</f>
        <v>4位</v>
      </c>
      <c r="S88" s="99"/>
    </row>
    <row r="89" ht="5.25" customHeight="1">
      <c r="A89" s="70"/>
      <c r="B89" s="100"/>
      <c r="C89" s="101"/>
      <c r="D89" s="102"/>
      <c r="E89" s="102"/>
      <c r="F89" s="103"/>
      <c r="G89" s="31"/>
      <c r="H89" s="31"/>
      <c r="I89" s="31"/>
      <c r="J89" s="105"/>
      <c r="K89" s="107"/>
      <c r="L89" s="106"/>
      <c r="M89" s="70"/>
      <c r="N89" s="107"/>
      <c r="O89" s="108">
        <f>IFERROR(
  SUMPRODUCT(IFERROR(--(LEFT(G88:J88,FIND("-",G88:J88)-1)),0))
  /
  (SUMPRODUCT(IFERROR(--(LEFT(G88:J88,FIND("-",G88:J88)-1)),0)) + SUMPRODUCT(IFERROR(--(RIGHT(G88:J88,LEN(G88:J88)-FIND("-",G88:J88))),0)))
  , 0)</f>
        <v>0</v>
      </c>
      <c r="P89" s="106"/>
      <c r="Q89" s="106"/>
      <c r="R89" s="106"/>
      <c r="S89" s="99"/>
    </row>
    <row r="90" ht="18.75" customHeight="1">
      <c r="A90" s="70"/>
      <c r="B90" s="122"/>
      <c r="C90" s="123" t="str">
        <f>IFERROR(VLOOKUP(B88&amp;"-"&amp;2,'リスト'!$B:$D,2,FALSE),"")</f>
        <v>濱田 久美</v>
      </c>
      <c r="D90" s="124"/>
      <c r="E90" s="124"/>
      <c r="F90" s="125" t="str">
        <f>IFERROR(VLOOKUP(B88&amp;"-"&amp;2,'リスト'!$B:$D,3,FALSE),"")</f>
        <v>フリー</v>
      </c>
      <c r="G90" s="126"/>
      <c r="H90" s="126"/>
      <c r="I90" s="126"/>
      <c r="J90" s="132"/>
      <c r="K90" s="128"/>
      <c r="L90" s="129"/>
      <c r="M90" s="70"/>
      <c r="N90" s="128"/>
      <c r="O90" s="129"/>
      <c r="P90" s="129"/>
      <c r="Q90" s="129"/>
      <c r="R90" s="129"/>
      <c r="S90" s="99"/>
    </row>
    <row r="91">
      <c r="A91" s="70"/>
      <c r="B91" s="70"/>
      <c r="C91" s="70"/>
      <c r="D91" s="70"/>
      <c r="E91" s="70"/>
      <c r="F91" s="72"/>
      <c r="G91" s="73"/>
      <c r="H91" s="73"/>
      <c r="I91" s="73"/>
      <c r="J91" s="73"/>
      <c r="K91" s="70"/>
      <c r="L91" s="70"/>
      <c r="M91" s="70"/>
      <c r="N91" s="70"/>
      <c r="O91" s="70"/>
      <c r="P91" s="70"/>
      <c r="Q91" s="70"/>
      <c r="R91" s="70"/>
      <c r="S91" s="70"/>
    </row>
    <row r="92" ht="32.25" customHeight="1">
      <c r="A92" s="70"/>
      <c r="B92" s="74" t="s">
        <v>262</v>
      </c>
      <c r="D92" s="70"/>
      <c r="E92" s="75" t="s">
        <v>193</v>
      </c>
      <c r="F92" s="72"/>
      <c r="G92" s="73"/>
      <c r="H92" s="73"/>
      <c r="I92" s="76" t="str">
        <f>TRIM('予選'!$A$1)</f>
        <v>　 　　　　　 サンプル</v>
      </c>
      <c r="M92" s="70"/>
      <c r="N92" s="70"/>
      <c r="O92" s="70"/>
      <c r="P92" s="70"/>
      <c r="Q92" s="70"/>
      <c r="R92" s="70"/>
      <c r="S92" s="70"/>
    </row>
    <row r="93">
      <c r="A93" s="70"/>
      <c r="B93" s="77" t="s">
        <v>340</v>
      </c>
      <c r="C93" s="78"/>
      <c r="D93" s="78"/>
      <c r="E93" s="78"/>
      <c r="F93" s="79"/>
      <c r="G93" s="80" t="str">
        <f>LEFT(C94, FIND(" ", C94 &amp; " ") - 1) &amp; "・" &amp; LEFT(C96, FIND(" ", C96 &amp; " ") - 1)
</f>
        <v>米村・佐藤</v>
      </c>
      <c r="H93" s="80" t="str">
        <f>LEFT(C97, FIND(" ", C97 &amp; " ") - 1) &amp; "・" &amp; LEFT(C99, FIND(" ", C99 &amp; " ") - 1)
</f>
        <v>松原・宮島</v>
      </c>
      <c r="I93" s="80" t="str">
        <f>LEFT(C100, FIND(" ", C100 &amp; " ") - 1) &amp; "・" &amp; LEFT(C102, FIND(" ", C102 &amp; " ") - 1)
</f>
        <v>田中・田渕</v>
      </c>
      <c r="J93" s="81" t="str">
        <f>LEFT(C103, FIND(" ", C103 &amp; " ") - 1) &amp; "・" &amp; LEFT(C105, FIND(" ", C105 &amp; " ") - 1)
</f>
        <v>中村・伊吹</v>
      </c>
      <c r="K93" s="82" t="s">
        <v>341</v>
      </c>
      <c r="L93" s="83" t="s">
        <v>198</v>
      </c>
      <c r="M93" s="70"/>
      <c r="N93" s="84" t="s">
        <v>342</v>
      </c>
      <c r="O93" s="85" t="s">
        <v>343</v>
      </c>
      <c r="P93" s="86" t="s">
        <v>344</v>
      </c>
      <c r="Q93" s="86" t="s">
        <v>345</v>
      </c>
      <c r="R93" s="83" t="s">
        <v>198</v>
      </c>
      <c r="S93" s="87"/>
    </row>
    <row r="94" ht="22.5" customHeight="1">
      <c r="A94" s="70"/>
      <c r="B94" s="88">
        <f>B79+4</f>
        <v>25</v>
      </c>
      <c r="C94" s="89" t="str">
        <f>IFERROR(VLOOKUP(B94&amp;"-"&amp;1,'リスト'!$B:$D,2,FALSE),"")</f>
        <v>米村 琢巳</v>
      </c>
      <c r="F94" s="90" t="str">
        <f>IFERROR(VLOOKUP(B94&amp;"-"&amp;1,'リスト'!$B:$D,3,FALSE),"")</f>
        <v>フリー</v>
      </c>
      <c r="G94" s="91" t="str">
        <f>IFERROR(__xludf.DUMMYFUNCTION("SPARKLINE({1,0})"),"")</f>
        <v/>
      </c>
      <c r="H94" s="92" t="s">
        <v>346</v>
      </c>
      <c r="I94" s="92" t="s">
        <v>346</v>
      </c>
      <c r="J94" s="93" t="s">
        <v>346</v>
      </c>
      <c r="K94" s="94" t="str">
        <f>IFERROR(__xludf.DUMMYFUNCTION("SUMPRODUCT(--(REGEXMATCH(TO_TEXT(G94:J94), ""-"")), IFERROR(--(LEFT(G94:J94,FIND(""-"",G94:J94)-1)&gt;RIGHT(G94:J94,LEN(G94:J94)-FIND(""-"",G94:J94))),0)) &amp; ""-"" &amp; SUMPRODUCT(--(REGEXMATCH(TO_TEXT(G94:J94), ""-"")), IFERROR(--(LEFT(G94:J94,FIND(""-"",G94:J9"&amp;"4)-1)&lt;RIGHT(G94:J94,LEN(G94:J94)-FIND(""-"",G94:J94))),0))"),"3-0")</f>
        <v>3-0</v>
      </c>
      <c r="L94" s="95" t="str">
        <f>IF(COUNTA(G94,G97,G100,G103,H94,H97,H100,H103,I94,I97,I100,I103,J94,J97,J100,J103)=16,R94,"")</f>
        <v>1位</v>
      </c>
      <c r="M94" s="70"/>
      <c r="N94" s="96">
        <f>IFERROR(VALUE(LEFT(K94,FIND("-",K94)-1)),-1)</f>
        <v>3</v>
      </c>
      <c r="O94" s="97" t="str">
        <f>SUMPRODUCT(IFERROR(--(LEFT(G94:J94,FIND("-",G94:J94)-1)),0)) &amp; "/" &amp; (SUMPRODUCT(IFERROR(--(LEFT(G94:J94,FIND("-",G94:J94)-1)),0)) + SUMPRODUCT(IFERROR(--(RIGHT(G94:J94,LEN(G94:J94)-FIND("-",G94:J94))),0)))</f>
        <v>18/18</v>
      </c>
      <c r="P94" s="95" t="str">
        <f>IF((COUNTIF($N94,N94)+COUNTIF($N97,N94)+COUNTIF($N100,N94)+COUNTIF($N103,N94))=2, IFERROR(IFS(N94=$N97,IF(VALUE(LEFT(H94,FIND("-",H94)-1))&gt;VALUE(RIGHT(H94,LEN(H94)-FIND("-",H94))),1,0), N94=$N100,IF(VALUE(LEFT(I94,FIND("-",I94)-1))&gt;VALUE(RIGHT(I94,LEN(I94)-FIND("-",I94))),1,0), N94=$N103,IF(VALUE(LEFT(J94,FIND("-",J94)-1))&gt;VALUE(RIGHT(J94,LEN(J94)-FIND("-",J94))),1,0)), ""), "")</f>
        <v/>
      </c>
      <c r="Q94" s="98">
        <f t="array" ref="Q94">N94+IF(SUMPRODUCT(--({$N94;$N97;$N100;$N103}=N94))=2,P94*0.1,IF(SUMPRODUCT(--({$N94;$N97;$N100;$N103}=N94))&gt;=3,O95*0.01,0))</f>
        <v>3</v>
      </c>
      <c r="R94" s="95" t="str">
        <f t="array" ref="R94">_xlfn.RANK.EQ(Q94, {$Q94;$Q97;$Q100;$Q103}) &amp; "位"</f>
        <v>1位</v>
      </c>
      <c r="S94" s="99"/>
    </row>
    <row r="95" ht="5.25" customHeight="1">
      <c r="A95" s="70"/>
      <c r="B95" s="100"/>
      <c r="C95" s="101"/>
      <c r="D95" s="102"/>
      <c r="E95" s="102"/>
      <c r="F95" s="103"/>
      <c r="G95" s="31"/>
      <c r="H95" s="104"/>
      <c r="I95" s="104"/>
      <c r="J95" s="105"/>
      <c r="K95" s="106"/>
      <c r="L95" s="106"/>
      <c r="M95" s="70"/>
      <c r="N95" s="107"/>
      <c r="O95" s="108">
        <f>IFERROR(
  SUMPRODUCT(IFERROR(--(LEFT(G94:J94,FIND("-",G94:J94)-1)),0))
  /
  (SUMPRODUCT(IFERROR(--(LEFT(G94:J94,FIND("-",G94:J94)-1)),0)) + SUMPRODUCT(IFERROR(--(RIGHT(G94:J94,LEN(G94:J94)-FIND("-",G94:J94))),0)))
  , 0)</f>
        <v>1</v>
      </c>
      <c r="P95" s="106"/>
      <c r="Q95" s="106"/>
      <c r="R95" s="106"/>
      <c r="S95" s="99"/>
    </row>
    <row r="96" ht="18.75" customHeight="1">
      <c r="A96" s="70"/>
      <c r="B96" s="109"/>
      <c r="C96" s="110" t="str">
        <f>IFERROR(VLOOKUP(B94&amp;"-"&amp;2,'リスト'!$B:$D,2,FALSE),"")</f>
        <v>佐藤 陽子</v>
      </c>
      <c r="D96" s="24"/>
      <c r="E96" s="24"/>
      <c r="F96" s="111" t="str">
        <f>IFERROR(VLOOKUP(B94&amp;"-"&amp;2,'リスト'!$B:$D,3,FALSE),"")</f>
        <v>ウィード</v>
      </c>
      <c r="G96" s="25"/>
      <c r="H96" s="112"/>
      <c r="I96" s="112"/>
      <c r="J96" s="113"/>
      <c r="K96" s="114"/>
      <c r="L96" s="114"/>
      <c r="M96" s="70"/>
      <c r="N96" s="115"/>
      <c r="O96" s="114"/>
      <c r="P96" s="114"/>
      <c r="Q96" s="114"/>
      <c r="R96" s="114"/>
      <c r="S96" s="99"/>
    </row>
    <row r="97" ht="18.75" customHeight="1">
      <c r="A97" s="70"/>
      <c r="B97" s="116">
        <f>B82+4</f>
        <v>26</v>
      </c>
      <c r="C97" s="89" t="str">
        <f>IFERROR(VLOOKUP(B97&amp;"-"&amp;1,'リスト'!$B:$D,2,FALSE),"")</f>
        <v>松原 成哉</v>
      </c>
      <c r="F97" s="90" t="str">
        <f>IFERROR(VLOOKUP(B97&amp;"-"&amp;1,'リスト'!$B:$D,3,FALSE),"")</f>
        <v>ｄｏＭｅ</v>
      </c>
      <c r="G97" s="117" t="str">
        <f>IFERROR(MID(H94, FIND("-", H94) + 1, 100) &amp; "-" &amp; LEFT(H94, FIND("-", H94) - 1), "")</f>
        <v>0-6</v>
      </c>
      <c r="H97" s="118" t="str">
        <f>IFERROR(__xludf.DUMMYFUNCTION("SPARKLINE({1,0})"),"")</f>
        <v/>
      </c>
      <c r="I97" s="92" t="s">
        <v>346</v>
      </c>
      <c r="J97" s="93" t="s">
        <v>346</v>
      </c>
      <c r="K97" s="94" t="str">
        <f>IFERROR(__xludf.DUMMYFUNCTION("SUMPRODUCT(--(REGEXMATCH(TO_TEXT(G97:J97), ""-"")), IFERROR(--(LEFT(G97:J97,FIND(""-"",G97:J97)-1)&gt;RIGHT(G97:J97,LEN(G97:J97)-FIND(""-"",G97:J97))),0)) &amp; ""-"" &amp; SUMPRODUCT(--(REGEXMATCH(TO_TEXT(G97:J97), ""-"")), IFERROR(--(LEFT(G97:J97,FIND(""-"",G97:J9"&amp;"7)-1)&lt;RIGHT(G97:J97,LEN(G97:J97)-FIND(""-"",G97:J97))),0))"),"2-1")</f>
        <v>2-1</v>
      </c>
      <c r="L97" s="95" t="str">
        <f>IF(COUNTA(G94,G97,G100,G103,H94,H97,H100,H103,I94,I97,I100,I103,J94,J97,J100,J103)=16,R97,"")</f>
        <v>2位</v>
      </c>
      <c r="M97" s="70"/>
      <c r="N97" s="96">
        <f>IFERROR(VALUE(LEFT(K97,FIND("-",K97)-1)),-1)</f>
        <v>2</v>
      </c>
      <c r="O97" s="97" t="str">
        <f>SUMPRODUCT(IFERROR(--(LEFT(G97:J97,FIND("-",G97:J97)-1)),0)) &amp; "/" &amp; (SUMPRODUCT(IFERROR(--(LEFT(G97:J97,FIND("-",G97:J97)-1)),0)) + SUMPRODUCT(IFERROR(--(RIGHT(G97:J97,LEN(G97:J97)-FIND("-",G97:J97))),0)))</f>
        <v>12/18</v>
      </c>
      <c r="P97" s="95" t="str">
        <f>IF((COUNTIF($N94,N97)+COUNTIF($N97,N97)+COUNTIF($N100,N97)+COUNTIF($N103,N97))=2, IFERROR(IFS(N97=$N94,IF(VALUE(LEFT(G97,FIND("-",G97)-1))&gt;VALUE(RIGHT(G97,LEN(G97)-FIND("-",G97))),1,0), N97=$N100,IF(VALUE(LEFT(I97,FIND("-",I97)-1))&gt;VALUE(RIGHT(I97,LEN(I97)-FIND("-",I97))),1,0), N97=$N103,IF(VALUE(LEFT(J97,FIND("-",J97)-1))&gt;VALUE(RIGHT(J97,LEN(J97)-FIND("-",J97))),1,0)), ""), "")</f>
        <v/>
      </c>
      <c r="Q97" s="98">
        <f t="array" ref="Q97">N97+IF(SUMPRODUCT(--({$N94;$N97;$N100;$N103}=N97))=2,P97*0.1,IF(SUMPRODUCT(--({$N94;$N97;$N100;$N103}=N97))&gt;=3,O98*0.01,0))</f>
        <v>2</v>
      </c>
      <c r="R97" s="95" t="str">
        <f t="array" ref="R97">_xlfn.RANK.EQ(Q97, {$Q94;$Q97;$Q100;$Q103}) &amp; "位"</f>
        <v>2位</v>
      </c>
      <c r="S97" s="99"/>
    </row>
    <row r="98" ht="5.25" customHeight="1">
      <c r="A98" s="70"/>
      <c r="B98" s="100"/>
      <c r="C98" s="101"/>
      <c r="D98" s="102"/>
      <c r="E98" s="102"/>
      <c r="F98" s="103"/>
      <c r="G98" s="31"/>
      <c r="H98" s="104"/>
      <c r="I98" s="104"/>
      <c r="J98" s="105"/>
      <c r="K98" s="106"/>
      <c r="L98" s="106"/>
      <c r="M98" s="70"/>
      <c r="N98" s="107"/>
      <c r="O98" s="108">
        <f>IFERROR(
  SUMPRODUCT(IFERROR(--(LEFT(G97:J97,FIND("-",G97:J97)-1)),0))
  /
  (SUMPRODUCT(IFERROR(--(LEFT(G97:J97,FIND("-",G97:J97)-1)),0)) + SUMPRODUCT(IFERROR(--(RIGHT(G97:J97,LEN(G97:J97)-FIND("-",G97:J97))),0)))
  , 0)</f>
        <v>0.6666666667</v>
      </c>
      <c r="P98" s="106"/>
      <c r="Q98" s="106"/>
      <c r="R98" s="106"/>
      <c r="S98" s="99"/>
    </row>
    <row r="99" ht="18.75" customHeight="1">
      <c r="A99" s="70"/>
      <c r="B99" s="109"/>
      <c r="C99" s="110" t="str">
        <f>IFERROR(VLOOKUP(B97&amp;"-"&amp;2,'リスト'!$B:$D,2,FALSE),"")</f>
        <v>宮島 依吹</v>
      </c>
      <c r="D99" s="24"/>
      <c r="E99" s="24"/>
      <c r="F99" s="111" t="str">
        <f>IFERROR(VLOOKUP(B97&amp;"-"&amp;2,'リスト'!$B:$D,3,FALSE),"")</f>
        <v>ｄｏＭｅ</v>
      </c>
      <c r="G99" s="25"/>
      <c r="H99" s="112"/>
      <c r="I99" s="112"/>
      <c r="J99" s="113"/>
      <c r="K99" s="114"/>
      <c r="L99" s="114"/>
      <c r="M99" s="70"/>
      <c r="N99" s="115"/>
      <c r="O99" s="114"/>
      <c r="P99" s="114"/>
      <c r="Q99" s="114"/>
      <c r="R99" s="114"/>
      <c r="S99" s="99"/>
    </row>
    <row r="100" ht="18.75" customHeight="1">
      <c r="A100" s="70"/>
      <c r="B100" s="88">
        <f>B85+4</f>
        <v>27</v>
      </c>
      <c r="C100" s="89" t="str">
        <f>IFERROR(VLOOKUP(B100&amp;"-"&amp;1,'リスト'!$B:$D,2,FALSE),"")</f>
        <v>田中 達也</v>
      </c>
      <c r="F100" s="90" t="str">
        <f>IFERROR(VLOOKUP(B100&amp;"-"&amp;1,'リスト'!$B:$D,3,FALSE),"")</f>
        <v>たんぽぽ</v>
      </c>
      <c r="G100" s="117" t="str">
        <f>IFERROR(MID(I94, FIND("-", I94) + 1, 100) &amp; "-" &amp; LEFT(I94, FIND("-", I94) - 1), "")</f>
        <v>0-6</v>
      </c>
      <c r="H100" s="117" t="str">
        <f>IFERROR(MID(I97, FIND("-", I97) + 1, 100) &amp; "-" &amp; LEFT(I97, FIND("-", I97) - 1), "")</f>
        <v>0-6</v>
      </c>
      <c r="I100" s="118" t="str">
        <f>IFERROR(__xludf.DUMMYFUNCTION("SPARKLINE({1,0})"),"")</f>
        <v/>
      </c>
      <c r="J100" s="93" t="s">
        <v>346</v>
      </c>
      <c r="K100" s="94" t="str">
        <f>IFERROR(__xludf.DUMMYFUNCTION("SUMPRODUCT(--(REGEXMATCH(TO_TEXT(G100:J100), ""-"")), IFERROR(--(LEFT(G100:J100,FIND(""-"",G100:J100)-1)&gt;RIGHT(G100:J100,LEN(G100:J100)-FIND(""-"",G100:J100))),0)) &amp; ""-"" &amp; SUMPRODUCT(--(REGEXMATCH(TO_TEXT(G100:J100), ""-"")), IFERROR(--(LEFT(G100:J100,F"&amp;"IND(""-"",G100:J100)-1)&lt;RIGHT(G100:J100,LEN(G100:J100)-FIND(""-"",G100:J100))),0))"),"1-2")</f>
        <v>1-2</v>
      </c>
      <c r="L100" s="95" t="str">
        <f>IF(COUNTA(G94,G97,G100,G103,H94,H97,H100,H103,I94,I97,I100,I103,J94,J97,J100,J103)=16,R100,"")</f>
        <v>3位</v>
      </c>
      <c r="M100" s="70"/>
      <c r="N100" s="96">
        <f>IFERROR(VALUE(LEFT(K100,FIND("-",K100)-1)),-1)</f>
        <v>1</v>
      </c>
      <c r="O100" s="97" t="str">
        <f>SUMPRODUCT(IFERROR(--(LEFT(G100:J100,FIND("-",G100:J100)-1)),0)) &amp; "/" &amp; (SUMPRODUCT(IFERROR(--(LEFT(G100:J100,FIND("-",G100:J100)-1)),0)) + SUMPRODUCT(IFERROR(--(RIGHT(G100:J100,LEN(G100:J100)-FIND("-",G100:J100))),0)))</f>
        <v>6/18</v>
      </c>
      <c r="P100" s="95" t="str">
        <f>IF((COUNTIF($N94,N100)+COUNTIF($N97,N100)+COUNTIF($N100,N100)+COUNTIF($N103,N100))=2, IFERROR(IFS(N100=$N94,IF(VALUE(LEFT(G100,FIND("-",G100)-1))&gt;VALUE(RIGHT(G100,LEN(G100)-FIND("-",G100))),1,0), N100=$N97,IF(VALUE(LEFT(H100,FIND("-",H100)-1))&gt;VALUE(RIGHT(H100,LEN(H100)-FIND("-",H100))),1,0), N100=$N103,IF(VALUE(LEFT(J100,FIND("-",J100)-1))&gt;VALUE(RIGHT(J100,LEN(J100)-FIND("-",J100))),1,0)), ""), "")</f>
        <v/>
      </c>
      <c r="Q100" s="98">
        <f t="array" ref="Q100">N100+IF(SUMPRODUCT(--({$N94;$N97;$N100;$N103}=N100))=2,P100*0.1,IF(SUMPRODUCT(--({$N94;$N97;$N100;$N103}=N100))&gt;=3,O101*0.01,0))</f>
        <v>1</v>
      </c>
      <c r="R100" s="95" t="str">
        <f t="array" ref="R100">_xlfn.RANK.EQ(Q100, {$Q94;$Q97;$Q100;$Q103}) &amp; "位"</f>
        <v>3位</v>
      </c>
      <c r="S100" s="99"/>
    </row>
    <row r="101" ht="5.25" customHeight="1">
      <c r="A101" s="70"/>
      <c r="B101" s="100"/>
      <c r="C101" s="101"/>
      <c r="D101" s="102"/>
      <c r="E101" s="102"/>
      <c r="F101" s="103"/>
      <c r="G101" s="31"/>
      <c r="H101" s="31"/>
      <c r="I101" s="104"/>
      <c r="J101" s="105"/>
      <c r="K101" s="106"/>
      <c r="L101" s="106"/>
      <c r="M101" s="70"/>
      <c r="N101" s="107"/>
      <c r="O101" s="108">
        <f>IFERROR(
  SUMPRODUCT(IFERROR(--(LEFT(G100:J100,FIND("-",G100:J100)-1)),0))
  /
  (SUMPRODUCT(IFERROR(--(LEFT(G100:J100,FIND("-",G100:J100)-1)),0)) + SUMPRODUCT(IFERROR(--(RIGHT(G100:J100,LEN(G100:J100)-FIND("-",G100:J100))),0)))
  , 0)</f>
        <v>0.3333333333</v>
      </c>
      <c r="P101" s="106"/>
      <c r="Q101" s="106"/>
      <c r="R101" s="106"/>
      <c r="S101" s="99"/>
    </row>
    <row r="102" ht="18.75" customHeight="1">
      <c r="A102" s="70"/>
      <c r="B102" s="109"/>
      <c r="C102" s="110" t="str">
        <f>IFERROR(VLOOKUP(B100&amp;"-"&amp;2,'リスト'!$B:$D,2,FALSE),"")</f>
        <v>田渕 夕起子</v>
      </c>
      <c r="D102" s="24"/>
      <c r="E102" s="24"/>
      <c r="F102" s="130" t="str">
        <f>IFERROR(VLOOKUP(B100&amp;"-"&amp;2,'リスト'!$B:$D,3,FALSE),"")</f>
        <v>ポップテニスプラス</v>
      </c>
      <c r="G102" s="25"/>
      <c r="H102" s="25"/>
      <c r="I102" s="112"/>
      <c r="J102" s="113"/>
      <c r="K102" s="114"/>
      <c r="L102" s="114"/>
      <c r="M102" s="70"/>
      <c r="N102" s="115"/>
      <c r="O102" s="114"/>
      <c r="P102" s="114"/>
      <c r="Q102" s="114"/>
      <c r="R102" s="114"/>
      <c r="S102" s="99"/>
    </row>
    <row r="103" ht="18.75" customHeight="1">
      <c r="A103" s="70"/>
      <c r="B103" s="116">
        <f>B88+4</f>
        <v>28</v>
      </c>
      <c r="C103" s="89" t="str">
        <f>IFERROR(VLOOKUP(B103&amp;"-"&amp;1,'リスト'!$B:$D,2,FALSE),"")</f>
        <v>中村 匡延</v>
      </c>
      <c r="F103" s="90" t="str">
        <f>IFERROR(VLOOKUP(B103&amp;"-"&amp;1,'リスト'!$B:$D,3,FALSE),"")</f>
        <v>プラセール</v>
      </c>
      <c r="G103" s="119" t="str">
        <f>IFERROR(MID(J94, FIND("-", J94) + 1, 100) &amp; "-" &amp; LEFT(J94, FIND("-", J94) - 1), "")</f>
        <v>0-6</v>
      </c>
      <c r="H103" s="117" t="str">
        <f>IFERROR(MID(J97, FIND("-", J97) + 1, 100) &amp; "-" &amp; LEFT(J97, FIND("-", J97) - 1), "")</f>
        <v>0-6</v>
      </c>
      <c r="I103" s="117" t="str">
        <f>IFERROR(MID(J100, FIND("-", J100) + 1, 100) &amp; "-" &amp; LEFT(J100, FIND("-", J100) - 1), "")</f>
        <v>0-6</v>
      </c>
      <c r="J103" s="131" t="str">
        <f>IFERROR(__xludf.DUMMYFUNCTION("SPARKLINE({1,0})"),"")</f>
        <v/>
      </c>
      <c r="K103" s="121" t="str">
        <f>IFERROR(__xludf.DUMMYFUNCTION("SUMPRODUCT(--(REGEXMATCH(TO_TEXT(G103:J103), ""-"")), IFERROR(--(LEFT(G103:J103,FIND(""-"",G103:J103)-1)&gt;RIGHT(G103:J103,LEN(G103:J103)-FIND(""-"",G103:J103))),0)) &amp; ""-"" &amp; SUMPRODUCT(--(REGEXMATCH(TO_TEXT(G103:J103), ""-"")), IFERROR(--(LEFT(G103:J103,F"&amp;"IND(""-"",G103:J103)-1)&lt;RIGHT(G103:J103,LEN(G103:J103)-FIND(""-"",G103:J103))),0))"),"0-3")</f>
        <v>0-3</v>
      </c>
      <c r="L103" s="95" t="str">
        <f>IF(COUNTA(G94,G97,G100,G103,H94,H97,H100,H103,I94,I97,I100,I103,J94,J97,J100,J103)=16,R103,"")</f>
        <v>4位</v>
      </c>
      <c r="M103" s="70"/>
      <c r="N103" s="96">
        <f>IFERROR(VALUE(LEFT(K103,FIND("-",K103)-1)),-1)</f>
        <v>0</v>
      </c>
      <c r="O103" s="97" t="str">
        <f>SUMPRODUCT(IFERROR(--(LEFT(G103:J103,FIND("-",G103:J103)-1)),0)) &amp; "/" &amp; (SUMPRODUCT(IFERROR(--(LEFT(G103:J103,FIND("-",G103:J103)-1)),0)) + SUMPRODUCT(IFERROR(--(RIGHT(G103:J103,LEN(G103:J103)-FIND("-",G103:J103))),0)))</f>
        <v>0/18</v>
      </c>
      <c r="P103" s="95" t="str">
        <f>IF((COUNTIF($N94,N103)+COUNTIF($N97,N103)+COUNTIF($N100,N103)+COUNTIF($N103,N103))=2, IFERROR(IFS(N103=$N94,IF(VALUE(LEFT(G103,FIND("-",G103)-1))&gt;VALUE(RIGHT(G103,LEN(G103)-FIND("-",G103))),1,0), N103=$N97,IF(VALUE(LEFT(H103,FIND("-",H103)-1))&gt;VALUE(RIGHT(H103,LEN(H103)-FIND("-",H103))),1,0), N103=$N100,IF(VALUE(LEFT(I103,FIND("-",I103)-1))&gt;VALUE(RIGHT(I103,LEN(I103)-FIND("-",I103))),1,0)), ""), "")</f>
        <v/>
      </c>
      <c r="Q103" s="98">
        <f t="array" ref="Q103">N103+IF(SUMPRODUCT(--({$N94;$N97;$N100;$N103}=N103))=2,P103*0.1,IF(SUMPRODUCT(--({$N94;$N97;$N100;$N103}=N103))&gt;=3,O104*0.01,0))</f>
        <v>0</v>
      </c>
      <c r="R103" s="95" t="str">
        <f t="array" ref="R103">_xlfn.RANK.EQ(Q103, {$Q94;$Q97;$Q100;$Q103}) &amp; "位"</f>
        <v>4位</v>
      </c>
      <c r="S103" s="99"/>
    </row>
    <row r="104" ht="5.25" customHeight="1">
      <c r="A104" s="70"/>
      <c r="B104" s="100"/>
      <c r="C104" s="101"/>
      <c r="D104" s="102"/>
      <c r="E104" s="102"/>
      <c r="F104" s="103"/>
      <c r="G104" s="31"/>
      <c r="H104" s="31"/>
      <c r="I104" s="31"/>
      <c r="J104" s="105"/>
      <c r="K104" s="107"/>
      <c r="L104" s="106"/>
      <c r="M104" s="70"/>
      <c r="N104" s="107"/>
      <c r="O104" s="108">
        <f>IFERROR(
  SUMPRODUCT(IFERROR(--(LEFT(G103:J103,FIND("-",G103:J103)-1)),0))
  /
  (SUMPRODUCT(IFERROR(--(LEFT(G103:J103,FIND("-",G103:J103)-1)),0)) + SUMPRODUCT(IFERROR(--(RIGHT(G103:J103,LEN(G103:J103)-FIND("-",G103:J103))),0)))
  , 0)</f>
        <v>0</v>
      </c>
      <c r="P104" s="106"/>
      <c r="Q104" s="106"/>
      <c r="R104" s="106"/>
      <c r="S104" s="99"/>
    </row>
    <row r="105" ht="19.5" customHeight="1">
      <c r="A105" s="70"/>
      <c r="B105" s="122"/>
      <c r="C105" s="123" t="str">
        <f>IFERROR(VLOOKUP(B103&amp;"-"&amp;2,'リスト'!$B:$D,2,FALSE),"")</f>
        <v>伊吹 優子</v>
      </c>
      <c r="D105" s="124"/>
      <c r="E105" s="124"/>
      <c r="F105" s="125" t="str">
        <f>IFERROR(VLOOKUP(B103&amp;"-"&amp;2,'リスト'!$B:$D,3,FALSE),"")</f>
        <v>ノーレット７</v>
      </c>
      <c r="G105" s="126"/>
      <c r="H105" s="126"/>
      <c r="I105" s="126"/>
      <c r="J105" s="132"/>
      <c r="K105" s="128"/>
      <c r="L105" s="129"/>
      <c r="M105" s="70"/>
      <c r="N105" s="128"/>
      <c r="O105" s="129"/>
      <c r="P105" s="129"/>
      <c r="Q105" s="129"/>
      <c r="R105" s="129"/>
      <c r="S105" s="99"/>
    </row>
    <row r="106">
      <c r="A106" s="70"/>
      <c r="B106" s="70"/>
      <c r="C106" s="70"/>
      <c r="D106" s="70"/>
      <c r="E106" s="70"/>
      <c r="F106" s="72"/>
      <c r="G106" s="73"/>
      <c r="H106" s="73"/>
      <c r="I106" s="73"/>
      <c r="J106" s="73"/>
      <c r="K106" s="70"/>
      <c r="L106" s="70"/>
      <c r="M106" s="70"/>
      <c r="N106" s="70"/>
      <c r="O106" s="70"/>
      <c r="P106" s="70"/>
      <c r="Q106" s="70"/>
      <c r="R106" s="70"/>
      <c r="S106" s="70"/>
    </row>
    <row r="107" ht="32.25" customHeight="1">
      <c r="A107" s="70"/>
      <c r="B107" s="74" t="s">
        <v>271</v>
      </c>
      <c r="D107" s="70"/>
      <c r="E107" s="75" t="s">
        <v>193</v>
      </c>
      <c r="F107" s="72"/>
      <c r="G107" s="73"/>
      <c r="H107" s="73"/>
      <c r="I107" s="76" t="str">
        <f>TRIM('予選'!$A$1)</f>
        <v>　 　　　　　 サンプル</v>
      </c>
      <c r="M107" s="70"/>
      <c r="N107" s="70"/>
      <c r="O107" s="70"/>
      <c r="P107" s="70"/>
      <c r="Q107" s="70"/>
      <c r="R107" s="70"/>
      <c r="S107" s="70"/>
    </row>
    <row r="108">
      <c r="A108" s="70"/>
      <c r="B108" s="77" t="s">
        <v>340</v>
      </c>
      <c r="C108" s="78"/>
      <c r="D108" s="78"/>
      <c r="E108" s="78"/>
      <c r="F108" s="79"/>
      <c r="G108" s="80" t="str">
        <f>LEFT(C109, FIND(" ", C109 &amp; " ") - 1) &amp; "・" &amp; LEFT(C111, FIND(" ", C111 &amp; " ") - 1)
</f>
        <v>小川・山内</v>
      </c>
      <c r="H108" s="80" t="str">
        <f>LEFT(C112, FIND(" ", C112 &amp; " ") - 1) &amp; "・" &amp; LEFT(C114, FIND(" ", C114 &amp; " ") - 1)
</f>
        <v>坪上・高垣</v>
      </c>
      <c r="I108" s="80" t="str">
        <f>LEFT(C115, FIND(" ", C115 &amp; " ") - 1) &amp; "・" &amp; LEFT(C117, FIND(" ", C117 &amp; " ") - 1)
</f>
        <v>砂原・藤田</v>
      </c>
      <c r="J108" s="81" t="str">
        <f>LEFT(C118, FIND(" ", C118 &amp; " ") - 1) &amp; "・" &amp; LEFT(C120, FIND(" ", C120 &amp; " ") - 1)
</f>
        <v>外園・船越</v>
      </c>
      <c r="K108" s="82" t="s">
        <v>341</v>
      </c>
      <c r="L108" s="83" t="s">
        <v>198</v>
      </c>
      <c r="M108" s="70"/>
      <c r="N108" s="84" t="s">
        <v>342</v>
      </c>
      <c r="O108" s="85" t="s">
        <v>343</v>
      </c>
      <c r="P108" s="86" t="s">
        <v>344</v>
      </c>
      <c r="Q108" s="86" t="s">
        <v>345</v>
      </c>
      <c r="R108" s="83" t="s">
        <v>198</v>
      </c>
      <c r="S108" s="87"/>
    </row>
    <row r="109" ht="22.5" customHeight="1">
      <c r="A109" s="70"/>
      <c r="B109" s="88">
        <f>B94+4</f>
        <v>29</v>
      </c>
      <c r="C109" s="89" t="str">
        <f>IFERROR(VLOOKUP(B109&amp;"-"&amp;1,'リスト'!$B:$D,2,FALSE),"")</f>
        <v>小川 拓</v>
      </c>
      <c r="F109" s="90" t="str">
        <f>IFERROR(VLOOKUP(B109&amp;"-"&amp;1,'リスト'!$B:$D,3,FALSE),"")</f>
        <v>プラセール</v>
      </c>
      <c r="G109" s="91" t="str">
        <f>IFERROR(__xludf.DUMMYFUNCTION("SPARKLINE({1,0})"),"")</f>
        <v/>
      </c>
      <c r="H109" s="92" t="s">
        <v>346</v>
      </c>
      <c r="I109" s="92" t="s">
        <v>346</v>
      </c>
      <c r="J109" s="93" t="s">
        <v>346</v>
      </c>
      <c r="K109" s="94" t="str">
        <f>IFERROR(__xludf.DUMMYFUNCTION("SUMPRODUCT(--(REGEXMATCH(TO_TEXT(G109:J109), ""-"")), IFERROR(--(LEFT(G109:J109,FIND(""-"",G109:J109)-1)&gt;RIGHT(G109:J109,LEN(G109:J109)-FIND(""-"",G109:J109))),0)) &amp; ""-"" &amp; SUMPRODUCT(--(REGEXMATCH(TO_TEXT(G109:J109), ""-"")), IFERROR(--(LEFT(G109:J109,F"&amp;"IND(""-"",G109:J109)-1)&lt;RIGHT(G109:J109,LEN(G109:J109)-FIND(""-"",G109:J109))),0))"),"3-0")</f>
        <v>3-0</v>
      </c>
      <c r="L109" s="95" t="str">
        <f>IF(COUNTA(G109,G112,G115,G118,H109,H112,H115,H118,I109,I112,I115,I118,J109,J112,J115,J118)=16,R109,"")</f>
        <v>1位</v>
      </c>
      <c r="M109" s="70"/>
      <c r="N109" s="96">
        <f>IFERROR(VALUE(LEFT(K109,FIND("-",K109)-1)),-1)</f>
        <v>3</v>
      </c>
      <c r="O109" s="97" t="str">
        <f>SUMPRODUCT(IFERROR(--(LEFT(G109:J109,FIND("-",G109:J109)-1)),0)) &amp; "/" &amp; (SUMPRODUCT(IFERROR(--(LEFT(G109:J109,FIND("-",G109:J109)-1)),0)) + SUMPRODUCT(IFERROR(--(RIGHT(G109:J109,LEN(G109:J109)-FIND("-",G109:J109))),0)))</f>
        <v>18/18</v>
      </c>
      <c r="P109" s="95" t="str">
        <f>IF((COUNTIF($N109,N109)+COUNTIF($N112,N109)+COUNTIF($N115,N109)+COUNTIF($N118,N109))=2, IFERROR(IFS(N109=$N112,IF(VALUE(LEFT(H109,FIND("-",H109)-1))&gt;VALUE(RIGHT(H109,LEN(H109)-FIND("-",H109))),1,0), N109=$N115,IF(VALUE(LEFT(I109,FIND("-",I109)-1))&gt;VALUE(RIGHT(I109,LEN(I109)-FIND("-",I109))),1,0), N109=$N118,IF(VALUE(LEFT(J109,FIND("-",J109)-1))&gt;VALUE(RIGHT(J109,LEN(J109)-FIND("-",J109))),1,0)), ""), "")</f>
        <v/>
      </c>
      <c r="Q109" s="98">
        <f t="array" ref="Q109">N109+IF(SUMPRODUCT(--({$N109;$N112;$N115;$N118}=N109))=2,P109*0.1,IF(SUMPRODUCT(--({$N109;$N112;$N115;$N118}=N109))&gt;=3,O110*0.01,0))</f>
        <v>3</v>
      </c>
      <c r="R109" s="95" t="str">
        <f t="array" ref="R109">_xlfn.RANK.EQ(Q109, {$Q109;$Q112;$Q115;$Q118}) &amp; "位"</f>
        <v>1位</v>
      </c>
      <c r="S109" s="99"/>
    </row>
    <row r="110" ht="5.25" customHeight="1">
      <c r="A110" s="70"/>
      <c r="B110" s="100"/>
      <c r="C110" s="101"/>
      <c r="D110" s="102"/>
      <c r="E110" s="102"/>
      <c r="F110" s="103"/>
      <c r="G110" s="31"/>
      <c r="H110" s="104"/>
      <c r="I110" s="104"/>
      <c r="J110" s="105"/>
      <c r="K110" s="106"/>
      <c r="L110" s="106"/>
      <c r="M110" s="70"/>
      <c r="N110" s="107"/>
      <c r="O110" s="108">
        <f>IFERROR(
  SUMPRODUCT(IFERROR(--(LEFT(G109:J109,FIND("-",G109:J109)-1)),0))
  /
  (SUMPRODUCT(IFERROR(--(LEFT(G109:J109,FIND("-",G109:J109)-1)),0)) + SUMPRODUCT(IFERROR(--(RIGHT(G109:J109,LEN(G109:J109)-FIND("-",G109:J109))),0)))
  , 0)</f>
        <v>1</v>
      </c>
      <c r="P110" s="106"/>
      <c r="Q110" s="106"/>
      <c r="R110" s="106"/>
      <c r="S110" s="99"/>
    </row>
    <row r="111" ht="18.75" customHeight="1">
      <c r="A111" s="70"/>
      <c r="B111" s="109"/>
      <c r="C111" s="110" t="str">
        <f>IFERROR(VLOOKUP(B109&amp;"-"&amp;2,'リスト'!$B:$D,2,FALSE),"")</f>
        <v>山内 恵子</v>
      </c>
      <c r="D111" s="24"/>
      <c r="E111" s="24"/>
      <c r="F111" s="111" t="str">
        <f>IFERROR(VLOOKUP(B109&amp;"-"&amp;2,'リスト'!$B:$D,3,FALSE),"")</f>
        <v>プラセール</v>
      </c>
      <c r="G111" s="25"/>
      <c r="H111" s="112"/>
      <c r="I111" s="112"/>
      <c r="J111" s="113"/>
      <c r="K111" s="114"/>
      <c r="L111" s="114"/>
      <c r="M111" s="70"/>
      <c r="N111" s="115"/>
      <c r="O111" s="114"/>
      <c r="P111" s="114"/>
      <c r="Q111" s="114"/>
      <c r="R111" s="114"/>
      <c r="S111" s="99"/>
    </row>
    <row r="112" ht="18.75" customHeight="1">
      <c r="A112" s="70"/>
      <c r="B112" s="116">
        <f>B97+4</f>
        <v>30</v>
      </c>
      <c r="C112" s="89" t="str">
        <f>IFERROR(VLOOKUP(B112&amp;"-"&amp;1,'リスト'!$B:$D,2,FALSE),"")</f>
        <v>坪上 雄太</v>
      </c>
      <c r="F112" s="154" t="str">
        <f>IFERROR(VLOOKUP(B112&amp;"-"&amp;1,'リスト'!$B:$D,3,FALSE),"")</f>
        <v>メテオスマッシュ</v>
      </c>
      <c r="G112" s="117" t="str">
        <f>IFERROR(MID(H109, FIND("-", H109) + 1, 100) &amp; "-" &amp; LEFT(H109, FIND("-", H109) - 1), "")</f>
        <v>0-6</v>
      </c>
      <c r="H112" s="118" t="str">
        <f>IFERROR(__xludf.DUMMYFUNCTION("SPARKLINE({1,0})"),"")</f>
        <v/>
      </c>
      <c r="I112" s="92" t="s">
        <v>346</v>
      </c>
      <c r="J112" s="93" t="s">
        <v>346</v>
      </c>
      <c r="K112" s="94" t="str">
        <f>IFERROR(__xludf.DUMMYFUNCTION("SUMPRODUCT(--(REGEXMATCH(TO_TEXT(G112:J112), ""-"")), IFERROR(--(LEFT(G112:J112,FIND(""-"",G112:J112)-1)&gt;RIGHT(G112:J112,LEN(G112:J112)-FIND(""-"",G112:J112))),0)) &amp; ""-"" &amp; SUMPRODUCT(--(REGEXMATCH(TO_TEXT(G112:J112), ""-"")), IFERROR(--(LEFT(G112:J112,F"&amp;"IND(""-"",G112:J112)-1)&lt;RIGHT(G112:J112,LEN(G112:J112)-FIND(""-"",G112:J112))),0))"),"2-1")</f>
        <v>2-1</v>
      </c>
      <c r="L112" s="95" t="str">
        <f>IF(COUNTA(G109,G112,G115,G118,H109,H112,H115,H118,I109,I112,I115,I118,J109,J112,J115,J118)=16,R112,"")</f>
        <v>2位</v>
      </c>
      <c r="M112" s="70"/>
      <c r="N112" s="96">
        <f>IFERROR(VALUE(LEFT(K112,FIND("-",K112)-1)),-1)</f>
        <v>2</v>
      </c>
      <c r="O112" s="97" t="str">
        <f>SUMPRODUCT(IFERROR(--(LEFT(G112:J112,FIND("-",G112:J112)-1)),0)) &amp; "/" &amp; (SUMPRODUCT(IFERROR(--(LEFT(G112:J112,FIND("-",G112:J112)-1)),0)) + SUMPRODUCT(IFERROR(--(RIGHT(G112:J112,LEN(G112:J112)-FIND("-",G112:J112))),0)))</f>
        <v>12/18</v>
      </c>
      <c r="P112" s="95" t="str">
        <f>IF((COUNTIF($N109,N112)+COUNTIF($N112,N112)+COUNTIF($N115,N112)+COUNTIF($N118,N112))=2, IFERROR(IFS(N112=$N109,IF(VALUE(LEFT(G112,FIND("-",G112)-1))&gt;VALUE(RIGHT(G112,LEN(G112)-FIND("-",G112))),1,0), N112=$N115,IF(VALUE(LEFT(I112,FIND("-",I112)-1))&gt;VALUE(RIGHT(I112,LEN(I112)-FIND("-",I112))),1,0), N112=$N118,IF(VALUE(LEFT(J112,FIND("-",J112)-1))&gt;VALUE(RIGHT(J112,LEN(J112)-FIND("-",J112))),1,0)), ""), "")</f>
        <v/>
      </c>
      <c r="Q112" s="98">
        <f t="array" ref="Q112">N112+IF(SUMPRODUCT(--({$N109;$N112;$N115;$N118}=N112))=2,P112*0.1,IF(SUMPRODUCT(--({$N109;$N112;$N115;$N118}=N112))&gt;=3,O113*0.01,0))</f>
        <v>2</v>
      </c>
      <c r="R112" s="95" t="str">
        <f t="array" ref="R112">_xlfn.RANK.EQ(Q112, {$Q109;$Q112;$Q115;$Q118}) &amp; "位"</f>
        <v>2位</v>
      </c>
      <c r="S112" s="99"/>
    </row>
    <row r="113" ht="5.25" customHeight="1">
      <c r="A113" s="70"/>
      <c r="B113" s="100"/>
      <c r="C113" s="101"/>
      <c r="D113" s="102"/>
      <c r="E113" s="102"/>
      <c r="F113" s="103"/>
      <c r="G113" s="31"/>
      <c r="H113" s="104"/>
      <c r="I113" s="104"/>
      <c r="J113" s="105"/>
      <c r="K113" s="106"/>
      <c r="L113" s="106"/>
      <c r="M113" s="70"/>
      <c r="N113" s="107"/>
      <c r="O113" s="108">
        <f>IFERROR(
  SUMPRODUCT(IFERROR(--(LEFT(G112:J112,FIND("-",G112:J112)-1)),0))
  /
  (SUMPRODUCT(IFERROR(--(LEFT(G112:J112,FIND("-",G112:J112)-1)),0)) + SUMPRODUCT(IFERROR(--(RIGHT(G112:J112,LEN(G112:J112)-FIND("-",G112:J112))),0)))
  , 0)</f>
        <v>0.6666666667</v>
      </c>
      <c r="P113" s="106"/>
      <c r="Q113" s="106"/>
      <c r="R113" s="106"/>
      <c r="S113" s="99"/>
    </row>
    <row r="114" ht="18.75" customHeight="1">
      <c r="A114" s="70"/>
      <c r="B114" s="109"/>
      <c r="C114" s="110" t="str">
        <f>IFERROR(VLOOKUP(B112&amp;"-"&amp;2,'リスト'!$B:$D,2,FALSE),"")</f>
        <v>高垣 雅美</v>
      </c>
      <c r="D114" s="24"/>
      <c r="E114" s="24"/>
      <c r="F114" s="111" t="str">
        <f>IFERROR(VLOOKUP(B112&amp;"-"&amp;2,'リスト'!$B:$D,3,FALSE),"")</f>
        <v>レイリー</v>
      </c>
      <c r="G114" s="25"/>
      <c r="H114" s="112"/>
      <c r="I114" s="112"/>
      <c r="J114" s="113"/>
      <c r="K114" s="114"/>
      <c r="L114" s="114"/>
      <c r="M114" s="70"/>
      <c r="N114" s="115"/>
      <c r="O114" s="114"/>
      <c r="P114" s="114"/>
      <c r="Q114" s="114"/>
      <c r="R114" s="114"/>
      <c r="S114" s="99"/>
    </row>
    <row r="115" ht="18.75" customHeight="1">
      <c r="A115" s="70"/>
      <c r="B115" s="88">
        <f>B100+4</f>
        <v>31</v>
      </c>
      <c r="C115" s="89" t="str">
        <f>IFERROR(VLOOKUP(B115&amp;"-"&amp;1,'リスト'!$B:$D,2,FALSE),"")</f>
        <v>砂原 翔</v>
      </c>
      <c r="F115" s="90" t="str">
        <f>IFERROR(VLOOKUP(B115&amp;"-"&amp;1,'リスト'!$B:$D,3,FALSE),"")</f>
        <v>ｏｆｆ</v>
      </c>
      <c r="G115" s="117" t="str">
        <f>IFERROR(MID(I109, FIND("-", I109) + 1, 100) &amp; "-" &amp; LEFT(I109, FIND("-", I109) - 1), "")</f>
        <v>0-6</v>
      </c>
      <c r="H115" s="117" t="str">
        <f>IFERROR(MID(I112, FIND("-", I112) + 1, 100) &amp; "-" &amp; LEFT(I112, FIND("-", I112) - 1), "")</f>
        <v>0-6</v>
      </c>
      <c r="I115" s="118" t="str">
        <f>IFERROR(__xludf.DUMMYFUNCTION("SPARKLINE({1,0})"),"")</f>
        <v/>
      </c>
      <c r="J115" s="93" t="s">
        <v>346</v>
      </c>
      <c r="K115" s="94" t="str">
        <f>IFERROR(__xludf.DUMMYFUNCTION("SUMPRODUCT(--(REGEXMATCH(TO_TEXT(G115:J115), ""-"")), IFERROR(--(LEFT(G115:J115,FIND(""-"",G115:J115)-1)&gt;RIGHT(G115:J115,LEN(G115:J115)-FIND(""-"",G115:J115))),0)) &amp; ""-"" &amp; SUMPRODUCT(--(REGEXMATCH(TO_TEXT(G115:J115), ""-"")), IFERROR(--(LEFT(G115:J115,F"&amp;"IND(""-"",G115:J115)-1)&lt;RIGHT(G115:J115,LEN(G115:J115)-FIND(""-"",G115:J115))),0))"),"1-2")</f>
        <v>1-2</v>
      </c>
      <c r="L115" s="95" t="str">
        <f>IF(COUNTA(G109,G112,G115,G118,H109,H112,H115,H118,I109,I112,I115,I118,J109,J112,J115,J118)=16,R115,"")</f>
        <v>3位</v>
      </c>
      <c r="M115" s="70"/>
      <c r="N115" s="96">
        <f>IFERROR(VALUE(LEFT(K115,FIND("-",K115)-1)),-1)</f>
        <v>1</v>
      </c>
      <c r="O115" s="97" t="str">
        <f>SUMPRODUCT(IFERROR(--(LEFT(G115:J115,FIND("-",G115:J115)-1)),0)) &amp; "/" &amp; (SUMPRODUCT(IFERROR(--(LEFT(G115:J115,FIND("-",G115:J115)-1)),0)) + SUMPRODUCT(IFERROR(--(RIGHT(G115:J115,LEN(G115:J115)-FIND("-",G115:J115))),0)))</f>
        <v>6/18</v>
      </c>
      <c r="P115" s="95" t="str">
        <f>IF((COUNTIF($N109,N115)+COUNTIF($N112,N115)+COUNTIF($N115,N115)+COUNTIF($N118,N115))=2, IFERROR(IFS(N115=$N109,IF(VALUE(LEFT(G115,FIND("-",G115)-1))&gt;VALUE(RIGHT(G115,LEN(G115)-FIND("-",G115))),1,0), N115=$N112,IF(VALUE(LEFT(H115,FIND("-",H115)-1))&gt;VALUE(RIGHT(H115,LEN(H115)-FIND("-",H115))),1,0), N115=$N118,IF(VALUE(LEFT(J115,FIND("-",J115)-1))&gt;VALUE(RIGHT(J115,LEN(J115)-FIND("-",J115))),1,0)), ""), "")</f>
        <v/>
      </c>
      <c r="Q115" s="98">
        <f t="array" ref="Q115">N115+IF(SUMPRODUCT(--({$N109;$N112;$N115;$N118}=N115))=2,P115*0.1,IF(SUMPRODUCT(--({$N109;$N112;$N115;$N118}=N115))&gt;=3,O116*0.01,0))</f>
        <v>1</v>
      </c>
      <c r="R115" s="95" t="str">
        <f t="array" ref="R115">_xlfn.RANK.EQ(Q115, {$Q109;$Q112;$Q115;$Q118}) &amp; "位"</f>
        <v>3位</v>
      </c>
      <c r="S115" s="99"/>
    </row>
    <row r="116" ht="5.25" customHeight="1">
      <c r="A116" s="70"/>
      <c r="B116" s="100"/>
      <c r="C116" s="101"/>
      <c r="D116" s="102"/>
      <c r="E116" s="102"/>
      <c r="F116" s="103"/>
      <c r="G116" s="31"/>
      <c r="H116" s="31"/>
      <c r="I116" s="104"/>
      <c r="J116" s="105"/>
      <c r="K116" s="106"/>
      <c r="L116" s="106"/>
      <c r="M116" s="70"/>
      <c r="N116" s="107"/>
      <c r="O116" s="108">
        <f>IFERROR(
  SUMPRODUCT(IFERROR(--(LEFT(G115:J115,FIND("-",G115:J115)-1)),0))
  /
  (SUMPRODUCT(IFERROR(--(LEFT(G115:J115,FIND("-",G115:J115)-1)),0)) + SUMPRODUCT(IFERROR(--(RIGHT(G115:J115,LEN(G115:J115)-FIND("-",G115:J115))),0)))
  , 0)</f>
        <v>0.3333333333</v>
      </c>
      <c r="P116" s="106"/>
      <c r="Q116" s="106"/>
      <c r="R116" s="106"/>
      <c r="S116" s="99"/>
    </row>
    <row r="117" ht="18.75" customHeight="1">
      <c r="A117" s="70"/>
      <c r="B117" s="109"/>
      <c r="C117" s="110" t="str">
        <f>IFERROR(VLOOKUP(B115&amp;"-"&amp;2,'リスト'!$B:$D,2,FALSE),"")</f>
        <v>藤田 登紀子</v>
      </c>
      <c r="D117" s="24"/>
      <c r="E117" s="24"/>
      <c r="F117" s="111" t="str">
        <f>IFERROR(VLOOKUP(B115&amp;"-"&amp;2,'リスト'!$B:$D,3,FALSE),"")</f>
        <v>フリー</v>
      </c>
      <c r="G117" s="25"/>
      <c r="H117" s="25"/>
      <c r="I117" s="112"/>
      <c r="J117" s="113"/>
      <c r="K117" s="114"/>
      <c r="L117" s="114"/>
      <c r="M117" s="70"/>
      <c r="N117" s="115"/>
      <c r="O117" s="114"/>
      <c r="P117" s="114"/>
      <c r="Q117" s="114"/>
      <c r="R117" s="114"/>
      <c r="S117" s="99"/>
    </row>
    <row r="118" ht="18.75" customHeight="1">
      <c r="A118" s="70"/>
      <c r="B118" s="116">
        <f>B103+4</f>
        <v>32</v>
      </c>
      <c r="C118" s="89" t="str">
        <f>IFERROR(VLOOKUP(B118&amp;"-"&amp;1,'リスト'!$B:$D,2,FALSE),"")</f>
        <v>外園 真都</v>
      </c>
      <c r="F118" s="90" t="str">
        <f>IFERROR(VLOOKUP(B118&amp;"-"&amp;1,'リスト'!$B:$D,3,FALSE),"")</f>
        <v>鳥取環境大</v>
      </c>
      <c r="G118" s="119" t="str">
        <f>IFERROR(MID(J109, FIND("-", J109) + 1, 100) &amp; "-" &amp; LEFT(J109, FIND("-", J109) - 1), "")</f>
        <v>0-6</v>
      </c>
      <c r="H118" s="117" t="str">
        <f>IFERROR(MID(J112, FIND("-", J112) + 1, 100) &amp; "-" &amp; LEFT(J112, FIND("-", J112) - 1), "")</f>
        <v>0-6</v>
      </c>
      <c r="I118" s="117" t="str">
        <f>IFERROR(MID(J115, FIND("-", J115) + 1, 100) &amp; "-" &amp; LEFT(J115, FIND("-", J115) - 1), "")</f>
        <v>0-6</v>
      </c>
      <c r="J118" s="120" t="str">
        <f>IFERROR(__xludf.DUMMYFUNCTION("SPARKLINE({1,0})"),"")</f>
        <v/>
      </c>
      <c r="K118" s="121" t="str">
        <f>IFERROR(__xludf.DUMMYFUNCTION("SUMPRODUCT(--(REGEXMATCH(TO_TEXT(G118:J118), ""-"")), IFERROR(--(LEFT(G118:J118,FIND(""-"",G118:J118)-1)&gt;RIGHT(G118:J118,LEN(G118:J118)-FIND(""-"",G118:J118))),0)) &amp; ""-"" &amp; SUMPRODUCT(--(REGEXMATCH(TO_TEXT(G118:J118), ""-"")), IFERROR(--(LEFT(G118:J118,F"&amp;"IND(""-"",G118:J118)-1)&lt;RIGHT(G118:J118,LEN(G118:J118)-FIND(""-"",G118:J118))),0))"),"0-3")</f>
        <v>0-3</v>
      </c>
      <c r="L118" s="95" t="str">
        <f>IF(COUNTA(G109,G112,G115,G118,H109,H112,H115,H118,I109,I112,I115,I118,J109,J112,J115,J118)=16,R118,"")</f>
        <v>4位</v>
      </c>
      <c r="M118" s="70"/>
      <c r="N118" s="96">
        <f>IFERROR(VALUE(LEFT(K118,FIND("-",K118)-1)),-1)</f>
        <v>0</v>
      </c>
      <c r="O118" s="97" t="str">
        <f>SUMPRODUCT(IFERROR(--(LEFT(G118:J118,FIND("-",G118:J118)-1)),0)) &amp; "/" &amp; (SUMPRODUCT(IFERROR(--(LEFT(G118:J118,FIND("-",G118:J118)-1)),0)) + SUMPRODUCT(IFERROR(--(RIGHT(G118:J118,LEN(G118:J118)-FIND("-",G118:J118))),0)))</f>
        <v>0/18</v>
      </c>
      <c r="P118" s="95" t="str">
        <f>IF((COUNTIF($N109,N118)+COUNTIF($N112,N118)+COUNTIF($N115,N118)+COUNTIF($N118,N118))=2, IFERROR(IFS(N118=$N109,IF(VALUE(LEFT(G118,FIND("-",G118)-1))&gt;VALUE(RIGHT(G118,LEN(G118)-FIND("-",G118))),1,0), N118=$N112,IF(VALUE(LEFT(H118,FIND("-",H118)-1))&gt;VALUE(RIGHT(H118,LEN(H118)-FIND("-",H118))),1,0), N118=$N115,IF(VALUE(LEFT(I118,FIND("-",I118)-1))&gt;VALUE(RIGHT(I118,LEN(I118)-FIND("-",I118))),1,0)), ""), "")</f>
        <v/>
      </c>
      <c r="Q118" s="98">
        <f t="array" ref="Q118">N118+IF(SUMPRODUCT(--({$N109;$N112;$N115;$N118}=N118))=2,P118*0.1,IF(SUMPRODUCT(--({$N109;$N112;$N115;$N118}=N118))&gt;=3,O119*0.01,0))</f>
        <v>0</v>
      </c>
      <c r="R118" s="95" t="str">
        <f t="array" ref="R118">_xlfn.RANK.EQ(Q118, {$Q109;$Q112;$Q115;$Q118}) &amp; "位"</f>
        <v>4位</v>
      </c>
      <c r="S118" s="99"/>
    </row>
    <row r="119" ht="5.25" customHeight="1">
      <c r="A119" s="70"/>
      <c r="B119" s="100"/>
      <c r="C119" s="101"/>
      <c r="D119" s="102"/>
      <c r="E119" s="102"/>
      <c r="F119" s="103"/>
      <c r="G119" s="31"/>
      <c r="H119" s="31"/>
      <c r="I119" s="31"/>
      <c r="J119" s="38"/>
      <c r="K119" s="107"/>
      <c r="L119" s="106"/>
      <c r="M119" s="70"/>
      <c r="N119" s="107"/>
      <c r="O119" s="108">
        <f>IFERROR(
  SUMPRODUCT(IFERROR(--(LEFT(G118:J118,FIND("-",G118:J118)-1)),0))
  /
  (SUMPRODUCT(IFERROR(--(LEFT(G118:J118,FIND("-",G118:J118)-1)),0)) + SUMPRODUCT(IFERROR(--(RIGHT(G118:J118,LEN(G118:J118)-FIND("-",G118:J118))),0)))
  , 0)</f>
        <v>0</v>
      </c>
      <c r="P119" s="106"/>
      <c r="Q119" s="106"/>
      <c r="R119" s="106"/>
      <c r="S119" s="99"/>
    </row>
    <row r="120" ht="19.5" customHeight="1">
      <c r="A120" s="70"/>
      <c r="B120" s="122"/>
      <c r="C120" s="123" t="str">
        <f>IFERROR(VLOOKUP(B118&amp;"-"&amp;2,'リスト'!$B:$D,2,FALSE),"")</f>
        <v>船越 海希</v>
      </c>
      <c r="D120" s="124"/>
      <c r="E120" s="124"/>
      <c r="F120" s="125" t="str">
        <f>IFERROR(VLOOKUP(B118&amp;"-"&amp;2,'リスト'!$B:$D,3,FALSE),"")</f>
        <v>鳥取環境大</v>
      </c>
      <c r="G120" s="126"/>
      <c r="H120" s="126"/>
      <c r="I120" s="126"/>
      <c r="J120" s="127"/>
      <c r="K120" s="128"/>
      <c r="L120" s="129"/>
      <c r="M120" s="70"/>
      <c r="N120" s="128"/>
      <c r="O120" s="129"/>
      <c r="P120" s="129"/>
      <c r="Q120" s="129"/>
      <c r="R120" s="129"/>
      <c r="S120" s="99"/>
    </row>
    <row r="121">
      <c r="A121" s="70"/>
      <c r="B121" s="70"/>
      <c r="C121" s="70"/>
      <c r="D121" s="70"/>
      <c r="E121" s="70"/>
      <c r="F121" s="72"/>
      <c r="G121" s="73"/>
      <c r="H121" s="73"/>
      <c r="I121" s="73"/>
      <c r="J121" s="73"/>
      <c r="K121" s="70"/>
      <c r="L121" s="70"/>
      <c r="M121" s="70"/>
      <c r="N121" s="70"/>
      <c r="O121" s="70"/>
      <c r="P121" s="70"/>
      <c r="Q121" s="70"/>
      <c r="R121" s="70"/>
      <c r="S121" s="70"/>
    </row>
    <row r="122" ht="32.25" customHeight="1">
      <c r="A122" s="70"/>
      <c r="B122" s="74" t="s">
        <v>352</v>
      </c>
      <c r="D122" s="70"/>
      <c r="E122" s="75" t="s">
        <v>193</v>
      </c>
      <c r="F122" s="72"/>
      <c r="G122" s="73"/>
      <c r="H122" s="73"/>
      <c r="I122" s="76" t="str">
        <f>TRIM('予選'!$A$1)</f>
        <v>　 　　　　　 サンプル</v>
      </c>
      <c r="M122" s="70"/>
      <c r="N122" s="70"/>
      <c r="O122" s="70"/>
      <c r="P122" s="70"/>
      <c r="Q122" s="70"/>
      <c r="R122" s="70"/>
      <c r="S122" s="70"/>
    </row>
    <row r="123">
      <c r="A123" s="70"/>
      <c r="B123" s="77" t="s">
        <v>340</v>
      </c>
      <c r="C123" s="78"/>
      <c r="D123" s="78"/>
      <c r="E123" s="78"/>
      <c r="F123" s="79"/>
      <c r="G123" s="80" t="str">
        <f>LEFT(C124, FIND(" ", C124 &amp; " ") - 1) &amp; "・" &amp; LEFT(C126, FIND(" ", C126 &amp; " ") - 1)
</f>
        <v>山口・宮本</v>
      </c>
      <c r="H123" s="80" t="str">
        <f>LEFT(C127, FIND(" ", C127 &amp; " ") - 1) &amp; "・" &amp; LEFT(C129, FIND(" ", C129 &amp; " ") - 1)
</f>
        <v>高木・北脇</v>
      </c>
      <c r="I123" s="80" t="str">
        <f>LEFT(C130, FIND(" ", C130 &amp; " ") - 1) &amp; "・" &amp; LEFT(C132, FIND(" ", C132 &amp; " ") - 1)
</f>
        <v>橋本・馬嶋</v>
      </c>
      <c r="J123" s="81" t="str">
        <f>LEFT(C133, FIND(" ", C133 &amp; " ") - 1) &amp; "・" &amp; LEFT(C135, FIND(" ", C135 &amp; " ") - 1)
</f>
        <v>西口・西口</v>
      </c>
      <c r="K123" s="82" t="s">
        <v>341</v>
      </c>
      <c r="L123" s="83" t="s">
        <v>198</v>
      </c>
      <c r="M123" s="70"/>
      <c r="N123" s="84" t="s">
        <v>342</v>
      </c>
      <c r="O123" s="85" t="s">
        <v>343</v>
      </c>
      <c r="P123" s="86" t="s">
        <v>344</v>
      </c>
      <c r="Q123" s="86" t="s">
        <v>345</v>
      </c>
      <c r="R123" s="83" t="s">
        <v>198</v>
      </c>
      <c r="S123" s="87"/>
    </row>
    <row r="124" ht="22.5" customHeight="1">
      <c r="A124" s="70"/>
      <c r="B124" s="88">
        <f>B109+4</f>
        <v>33</v>
      </c>
      <c r="C124" s="89" t="str">
        <f>IFERROR(VLOOKUP(B124&amp;"-"&amp;1,'リスト'!$B:$D,2,FALSE),"")</f>
        <v>山口 辰之</v>
      </c>
      <c r="F124" s="90" t="str">
        <f>IFERROR(VLOOKUP(B124&amp;"-"&amp;1,'リスト'!$B:$D,3,FALSE),"")</f>
        <v>サニーＴＳ</v>
      </c>
      <c r="G124" s="91" t="str">
        <f>IFERROR(__xludf.DUMMYFUNCTION("SPARKLINE({1,0})"),"")</f>
        <v/>
      </c>
      <c r="H124" s="92" t="s">
        <v>346</v>
      </c>
      <c r="I124" s="92" t="s">
        <v>346</v>
      </c>
      <c r="J124" s="93" t="s">
        <v>346</v>
      </c>
      <c r="K124" s="94" t="str">
        <f>IFERROR(__xludf.DUMMYFUNCTION("SUMPRODUCT(--(REGEXMATCH(TO_TEXT(G124:J124), ""-"")), IFERROR(--(LEFT(G124:J124,FIND(""-"",G124:J124)-1)&gt;RIGHT(G124:J124,LEN(G124:J124)-FIND(""-"",G124:J124))),0)) &amp; ""-"" &amp; SUMPRODUCT(--(REGEXMATCH(TO_TEXT(G124:J124), ""-"")), IFERROR(--(LEFT(G124:J124,F"&amp;"IND(""-"",G124:J124)-1)&lt;RIGHT(G124:J124,LEN(G124:J124)-FIND(""-"",G124:J124))),0))"),"3-0")</f>
        <v>3-0</v>
      </c>
      <c r="L124" s="95" t="str">
        <f>IF(COUNTA(G124,G127,G130,G133,H124,H127,H130,H133,I124,I127,I130,I133,J124,J127,J130,J133)=16,R124,"")</f>
        <v>1位</v>
      </c>
      <c r="M124" s="70"/>
      <c r="N124" s="96">
        <f>IFERROR(VALUE(LEFT(K124,FIND("-",K124)-1)),-1)</f>
        <v>3</v>
      </c>
      <c r="O124" s="97" t="str">
        <f>SUMPRODUCT(IFERROR(--(LEFT(G124:J124,FIND("-",G124:J124)-1)),0)) &amp; "/" &amp; (SUMPRODUCT(IFERROR(--(LEFT(G124:J124,FIND("-",G124:J124)-1)),0)) + SUMPRODUCT(IFERROR(--(RIGHT(G124:J124,LEN(G124:J124)-FIND("-",G124:J124))),0)))</f>
        <v>18/18</v>
      </c>
      <c r="P124" s="95" t="str">
        <f>IF((COUNTIF($N124,N124)+COUNTIF($N127,N124)+COUNTIF($N130,N124)+COUNTIF($N133,N124))=2, IFERROR(IFS(N124=$N127,IF(VALUE(LEFT(H124,FIND("-",H124)-1))&gt;VALUE(RIGHT(H124,LEN(H124)-FIND("-",H124))),1,0), N124=$N130,IF(VALUE(LEFT(I124,FIND("-",I124)-1))&gt;VALUE(RIGHT(I124,LEN(I124)-FIND("-",I124))),1,0), N124=$N133,IF(VALUE(LEFT(J124,FIND("-",J124)-1))&gt;VALUE(RIGHT(J124,LEN(J124)-FIND("-",J124))),1,0)), ""), "")</f>
        <v/>
      </c>
      <c r="Q124" s="98">
        <f t="array" ref="Q124">N124+IF(SUMPRODUCT(--({$N124;$N127;$N130;$N133}=N124))=2,P124*0.1,IF(SUMPRODUCT(--({$N124;$N127;$N130;$N133}=N124))&gt;=3,O125*0.01,0))</f>
        <v>3</v>
      </c>
      <c r="R124" s="95" t="str">
        <f t="array" ref="R124">_xlfn.RANK.EQ(Q124, {$Q124;$Q127;$Q130;$Q133}) &amp; "位"</f>
        <v>1位</v>
      </c>
      <c r="S124" s="99"/>
    </row>
    <row r="125" ht="5.25" customHeight="1">
      <c r="A125" s="70"/>
      <c r="B125" s="100"/>
      <c r="C125" s="101"/>
      <c r="D125" s="102"/>
      <c r="E125" s="102"/>
      <c r="F125" s="103"/>
      <c r="G125" s="31"/>
      <c r="H125" s="104"/>
      <c r="I125" s="104"/>
      <c r="J125" s="105"/>
      <c r="K125" s="106"/>
      <c r="L125" s="106"/>
      <c r="M125" s="70"/>
      <c r="N125" s="107"/>
      <c r="O125" s="108">
        <f>IFERROR(
  SUMPRODUCT(IFERROR(--(LEFT(G124:J124,FIND("-",G124:J124)-1)),0))
  /
  (SUMPRODUCT(IFERROR(--(LEFT(G124:J124,FIND("-",G124:J124)-1)),0)) + SUMPRODUCT(IFERROR(--(RIGHT(G124:J124,LEN(G124:J124)-FIND("-",G124:J124))),0)))
  , 0)</f>
        <v>1</v>
      </c>
      <c r="P125" s="106"/>
      <c r="Q125" s="106"/>
      <c r="R125" s="106"/>
      <c r="S125" s="99"/>
    </row>
    <row r="126" ht="18.75" customHeight="1">
      <c r="A126" s="70"/>
      <c r="B126" s="109"/>
      <c r="C126" s="110" t="str">
        <f>IFERROR(VLOOKUP(B124&amp;"-"&amp;2,'リスト'!$B:$D,2,FALSE),"")</f>
        <v>宮本 真有</v>
      </c>
      <c r="D126" s="24"/>
      <c r="E126" s="24"/>
      <c r="F126" s="111" t="str">
        <f>IFERROR(VLOOKUP(B124&amp;"-"&amp;2,'リスト'!$B:$D,3,FALSE),"")</f>
        <v>デネブ</v>
      </c>
      <c r="G126" s="25"/>
      <c r="H126" s="112"/>
      <c r="I126" s="112"/>
      <c r="J126" s="113"/>
      <c r="K126" s="114"/>
      <c r="L126" s="114"/>
      <c r="M126" s="70"/>
      <c r="N126" s="115"/>
      <c r="O126" s="114"/>
      <c r="P126" s="114"/>
      <c r="Q126" s="114"/>
      <c r="R126" s="114"/>
      <c r="S126" s="99"/>
    </row>
    <row r="127" ht="18.75" customHeight="1">
      <c r="A127" s="70"/>
      <c r="B127" s="116">
        <f>B112+4</f>
        <v>34</v>
      </c>
      <c r="C127" s="89" t="str">
        <f>IFERROR(VLOOKUP(B127&amp;"-"&amp;1,'リスト'!$B:$D,2,FALSE),"")</f>
        <v>高木 道大</v>
      </c>
      <c r="F127" s="90" t="str">
        <f>IFERROR(VLOOKUP(B127&amp;"-"&amp;1,'リスト'!$B:$D,3,FALSE),"")</f>
        <v>因幡打輪</v>
      </c>
      <c r="G127" s="117" t="str">
        <f>IFERROR(MID(H124, FIND("-", H124) + 1, 100) &amp; "-" &amp; LEFT(H124, FIND("-", H124) - 1), "")</f>
        <v>0-6</v>
      </c>
      <c r="H127" s="118" t="str">
        <f>IFERROR(__xludf.DUMMYFUNCTION("SPARKLINE({1,0})"),"")</f>
        <v/>
      </c>
      <c r="I127" s="92" t="s">
        <v>346</v>
      </c>
      <c r="J127" s="93" t="s">
        <v>353</v>
      </c>
      <c r="K127" s="94" t="str">
        <f>IFERROR(__xludf.DUMMYFUNCTION("SUMPRODUCT(--(REGEXMATCH(TO_TEXT(G127:J127), ""-"")), IFERROR(--(LEFT(G127:J127,FIND(""-"",G127:J127)-1)&gt;RIGHT(G127:J127,LEN(G127:J127)-FIND(""-"",G127:J127))),0)) &amp; ""-"" &amp; SUMPRODUCT(--(REGEXMATCH(TO_TEXT(G127:J127), ""-"")), IFERROR(--(LEFT(G127:J127,F"&amp;"IND(""-"",G127:J127)-1)&lt;RIGHT(G127:J127,LEN(G127:J127)-FIND(""-"",G127:J127))),0))"),"1-2")</f>
        <v>1-2</v>
      </c>
      <c r="L127" s="95" t="str">
        <f>IF(COUNTA(G124,G127,G130,G133,H124,H127,H130,H133,I124,I127,I130,I133,J124,J127,J130,J133)=16,R127,"")</f>
        <v>2位</v>
      </c>
      <c r="M127" s="70"/>
      <c r="N127" s="96">
        <f>IFERROR(VALUE(LEFT(K127,FIND("-",K127)-1)),-1)</f>
        <v>1</v>
      </c>
      <c r="O127" s="97" t="str">
        <f>SUMPRODUCT(IFERROR(--(LEFT(G127:J127,FIND("-",G127:J127)-1)),0)) &amp; "/" &amp; (SUMPRODUCT(IFERROR(--(LEFT(G127:J127,FIND("-",G127:J127)-1)),0)) + SUMPRODUCT(IFERROR(--(RIGHT(G127:J127,LEN(G127:J127)-FIND("-",G127:J127))),0)))</f>
        <v>7/19</v>
      </c>
      <c r="P127" s="95" t="str">
        <f>IF((COUNTIF($N124,N127)+COUNTIF($N127,N127)+COUNTIF($N130,N127)+COUNTIF($N133,N127))=2, IFERROR(IFS(N127=$N124,IF(VALUE(LEFT(G127,FIND("-",G127)-1))&gt;VALUE(RIGHT(G127,LEN(G127)-FIND("-",G127))),1,0), N127=$N130,IF(VALUE(LEFT(I127,FIND("-",I127)-1))&gt;VALUE(RIGHT(I127,LEN(I127)-FIND("-",I127))),1,0), N127=$N133,IF(VALUE(LEFT(J127,FIND("-",J127)-1))&gt;VALUE(RIGHT(J127,LEN(J127)-FIND("-",J127))),1,0)), ""), "")</f>
        <v/>
      </c>
      <c r="Q127" s="98">
        <f t="array" ref="Q127">N127+IF(SUMPRODUCT(--({$N124;$N127;$N130;$N133}=N127))=2,P127*0.1,IF(SUMPRODUCT(--({$N124;$N127;$N130;$N133}=N127))&gt;=3,O128*0.01,0))</f>
        <v>1.003684211</v>
      </c>
      <c r="R127" s="95" t="str">
        <f t="array" ref="R127">_xlfn.RANK.EQ(Q127, {$Q124;$Q127;$Q130;$Q133}) &amp; "位"</f>
        <v>2位</v>
      </c>
      <c r="S127" s="99"/>
    </row>
    <row r="128" ht="5.25" customHeight="1">
      <c r="A128" s="70"/>
      <c r="B128" s="100"/>
      <c r="C128" s="101"/>
      <c r="D128" s="102"/>
      <c r="E128" s="102"/>
      <c r="F128" s="103"/>
      <c r="G128" s="31"/>
      <c r="H128" s="104"/>
      <c r="I128" s="104"/>
      <c r="J128" s="105"/>
      <c r="K128" s="106"/>
      <c r="L128" s="106"/>
      <c r="M128" s="70"/>
      <c r="N128" s="107"/>
      <c r="O128" s="108">
        <f>IFERROR(
  SUMPRODUCT(IFERROR(--(LEFT(G127:J127,FIND("-",G127:J127)-1)),0))
  /
  (SUMPRODUCT(IFERROR(--(LEFT(G127:J127,FIND("-",G127:J127)-1)),0)) + SUMPRODUCT(IFERROR(--(RIGHT(G127:J127,LEN(G127:J127)-FIND("-",G127:J127))),0)))
  , 0)</f>
        <v>0.3684210526</v>
      </c>
      <c r="P128" s="106"/>
      <c r="Q128" s="106"/>
      <c r="R128" s="106"/>
      <c r="S128" s="99"/>
    </row>
    <row r="129" ht="18.75" customHeight="1">
      <c r="A129" s="70"/>
      <c r="B129" s="109"/>
      <c r="C129" s="110" t="str">
        <f>IFERROR(VLOOKUP(B127&amp;"-"&amp;2,'リスト'!$B:$D,2,FALSE),"")</f>
        <v>北脇 禎恵</v>
      </c>
      <c r="D129" s="24"/>
      <c r="E129" s="24"/>
      <c r="F129" s="111" t="str">
        <f>IFERROR(VLOOKUP(B127&amp;"-"&amp;2,'リスト'!$B:$D,3,FALSE),"")</f>
        <v>フリー</v>
      </c>
      <c r="G129" s="25"/>
      <c r="H129" s="112"/>
      <c r="I129" s="112"/>
      <c r="J129" s="113"/>
      <c r="K129" s="114"/>
      <c r="L129" s="114"/>
      <c r="M129" s="70"/>
      <c r="N129" s="115"/>
      <c r="O129" s="114"/>
      <c r="P129" s="114"/>
      <c r="Q129" s="114"/>
      <c r="R129" s="114"/>
      <c r="S129" s="99"/>
    </row>
    <row r="130" ht="18.75" customHeight="1">
      <c r="A130" s="70"/>
      <c r="B130" s="88">
        <f>B115+4</f>
        <v>35</v>
      </c>
      <c r="C130" s="89" t="str">
        <f>IFERROR(VLOOKUP(B130&amp;"-"&amp;1,'リスト'!$B:$D,2,FALSE),"")</f>
        <v>橋本 真也</v>
      </c>
      <c r="F130" s="90" t="str">
        <f>IFERROR(VLOOKUP(B130&amp;"-"&amp;1,'リスト'!$B:$D,3,FALSE),"")</f>
        <v>Drop☆Shot</v>
      </c>
      <c r="G130" s="117" t="str">
        <f>IFERROR(MID(I124, FIND("-", I124) + 1, 100) &amp; "-" &amp; LEFT(I124, FIND("-", I124) - 1), "")</f>
        <v>0-6</v>
      </c>
      <c r="H130" s="117" t="str">
        <f>IFERROR(MID(I127, FIND("-", I127) + 1, 100) &amp; "-" &amp; LEFT(I127, FIND("-", I127) - 1), "")</f>
        <v>0-6</v>
      </c>
      <c r="I130" s="118" t="str">
        <f>IFERROR(__xludf.DUMMYFUNCTION("SPARKLINE({1,0})"),"")</f>
        <v/>
      </c>
      <c r="J130" s="93" t="s">
        <v>346</v>
      </c>
      <c r="K130" s="94" t="str">
        <f>IFERROR(__xludf.DUMMYFUNCTION("SUMPRODUCT(--(REGEXMATCH(TO_TEXT(G130:J130), ""-"")), IFERROR(--(LEFT(G130:J130,FIND(""-"",G130:J130)-1)&gt;RIGHT(G130:J130,LEN(G130:J130)-FIND(""-"",G130:J130))),0)) &amp; ""-"" &amp; SUMPRODUCT(--(REGEXMATCH(TO_TEXT(G130:J130), ""-"")), IFERROR(--(LEFT(G130:J130,F"&amp;"IND(""-"",G130:J130)-1)&lt;RIGHT(G130:J130,LEN(G130:J130)-FIND(""-"",G130:J130))),0))"),"1-2")</f>
        <v>1-2</v>
      </c>
      <c r="L130" s="95" t="str">
        <f>IF(COUNTA(G124,G127,G130,G133,H124,H127,H130,H133,I124,I127,I130,I133,J124,J127,J130,J133)=16,R130,"")</f>
        <v>3位</v>
      </c>
      <c r="M130" s="70"/>
      <c r="N130" s="96">
        <f>IFERROR(VALUE(LEFT(K130,FIND("-",K130)-1)),-1)</f>
        <v>1</v>
      </c>
      <c r="O130" s="97" t="str">
        <f>SUMPRODUCT(IFERROR(--(LEFT(G130:J130,FIND("-",G130:J130)-1)),0)) &amp; "/" &amp; (SUMPRODUCT(IFERROR(--(LEFT(G130:J130,FIND("-",G130:J130)-1)),0)) + SUMPRODUCT(IFERROR(--(RIGHT(G130:J130,LEN(G130:J130)-FIND("-",G130:J130))),0)))</f>
        <v>6/18</v>
      </c>
      <c r="P130" s="95" t="str">
        <f>IF((COUNTIF($N124,N130)+COUNTIF($N127,N130)+COUNTIF($N130,N130)+COUNTIF($N133,N130))=2, IFERROR(IFS(N130=$N124,IF(VALUE(LEFT(G130,FIND("-",G130)-1))&gt;VALUE(RIGHT(G130,LEN(G130)-FIND("-",G130))),1,0), N130=$N127,IF(VALUE(LEFT(H130,FIND("-",H130)-1))&gt;VALUE(RIGHT(H130,LEN(H130)-FIND("-",H130))),1,0), N130=$N133,IF(VALUE(LEFT(J130,FIND("-",J130)-1))&gt;VALUE(RIGHT(J130,LEN(J130)-FIND("-",J130))),1,0)), ""), "")</f>
        <v/>
      </c>
      <c r="Q130" s="98">
        <f t="array" ref="Q130">N130+IF(SUMPRODUCT(--({$N124;$N127;$N130;$N133}=N130))=2,P130*0.1,IF(SUMPRODUCT(--({$N124;$N127;$N130;$N133}=N130))&gt;=3,O131*0.01,0))</f>
        <v>1.003333333</v>
      </c>
      <c r="R130" s="95" t="str">
        <f t="array" ref="R130">_xlfn.RANK.EQ(Q130, {$Q124;$Q127;$Q130;$Q133}) &amp; "位"</f>
        <v>3位</v>
      </c>
      <c r="S130" s="99"/>
    </row>
    <row r="131" ht="5.25" customHeight="1">
      <c r="A131" s="70"/>
      <c r="B131" s="100"/>
      <c r="C131" s="101"/>
      <c r="D131" s="102"/>
      <c r="E131" s="102"/>
      <c r="F131" s="103"/>
      <c r="G131" s="31"/>
      <c r="H131" s="31"/>
      <c r="I131" s="104"/>
      <c r="J131" s="105"/>
      <c r="K131" s="106"/>
      <c r="L131" s="106"/>
      <c r="M131" s="70"/>
      <c r="N131" s="107"/>
      <c r="O131" s="108">
        <f>IFERROR(
  SUMPRODUCT(IFERROR(--(LEFT(G130:J130,FIND("-",G130:J130)-1)),0))
  /
  (SUMPRODUCT(IFERROR(--(LEFT(G130:J130,FIND("-",G130:J130)-1)),0)) + SUMPRODUCT(IFERROR(--(RIGHT(G130:J130,LEN(G130:J130)-FIND("-",G130:J130))),0)))
  , 0)</f>
        <v>0.3333333333</v>
      </c>
      <c r="P131" s="106"/>
      <c r="Q131" s="106"/>
      <c r="R131" s="106"/>
      <c r="S131" s="99"/>
    </row>
    <row r="132" ht="18.75" customHeight="1">
      <c r="A132" s="70"/>
      <c r="B132" s="109"/>
      <c r="C132" s="110" t="str">
        <f>IFERROR(VLOOKUP(B130&amp;"-"&amp;2,'リスト'!$B:$D,2,FALSE),"")</f>
        <v>馬嶋 由美子</v>
      </c>
      <c r="D132" s="24"/>
      <c r="E132" s="24"/>
      <c r="F132" s="111" t="str">
        <f>IFERROR(VLOOKUP(B130&amp;"-"&amp;2,'リスト'!$B:$D,3,FALSE),"")</f>
        <v>フリー</v>
      </c>
      <c r="G132" s="25"/>
      <c r="H132" s="25"/>
      <c r="I132" s="112"/>
      <c r="J132" s="113"/>
      <c r="K132" s="114"/>
      <c r="L132" s="114"/>
      <c r="M132" s="70"/>
      <c r="N132" s="115"/>
      <c r="O132" s="114"/>
      <c r="P132" s="114"/>
      <c r="Q132" s="114"/>
      <c r="R132" s="114"/>
      <c r="S132" s="99"/>
    </row>
    <row r="133" ht="18.75" customHeight="1">
      <c r="A133" s="70"/>
      <c r="B133" s="116">
        <f>B118+4</f>
        <v>36</v>
      </c>
      <c r="C133" s="89" t="str">
        <f>IFERROR(VLOOKUP(B133&amp;"-"&amp;1,'リスト'!$B:$D,2,FALSE),"")</f>
        <v>西口 幸雄</v>
      </c>
      <c r="F133" s="90" t="str">
        <f>IFERROR(VLOOKUP(B133&amp;"-"&amp;1,'リスト'!$B:$D,3,FALSE),"")</f>
        <v>プラセール</v>
      </c>
      <c r="G133" s="119" t="str">
        <f>IFERROR(MID(J124, FIND("-", J124) + 1, 100) &amp; "-" &amp; LEFT(J124, FIND("-", J124) - 1), "")</f>
        <v>0-6</v>
      </c>
      <c r="H133" s="117" t="str">
        <f>IFERROR(MID(J127, FIND("-", J127) + 1, 100) &amp; "-" &amp; LEFT(J127, FIND("-", J127) - 1), "")</f>
        <v>6-1</v>
      </c>
      <c r="I133" s="117" t="str">
        <f>IFERROR(MID(J130, FIND("-", J130) + 1, 100) &amp; "-" &amp; LEFT(J130, FIND("-", J130) - 1), "")</f>
        <v>0-6</v>
      </c>
      <c r="J133" s="120" t="str">
        <f>IFERROR(__xludf.DUMMYFUNCTION("SPARKLINE({1,0})"),"")</f>
        <v/>
      </c>
      <c r="K133" s="121" t="str">
        <f>IFERROR(__xludf.DUMMYFUNCTION("SUMPRODUCT(--(REGEXMATCH(TO_TEXT(G133:J133), ""-"")), IFERROR(--(LEFT(G133:J133,FIND(""-"",G133:J133)-1)&gt;RIGHT(G133:J133,LEN(G133:J133)-FIND(""-"",G133:J133))),0)) &amp; ""-"" &amp; SUMPRODUCT(--(REGEXMATCH(TO_TEXT(G133:J133), ""-"")), IFERROR(--(LEFT(G133:J133,F"&amp;"IND(""-"",G133:J133)-1)&lt;RIGHT(G133:J133,LEN(G133:J133)-FIND(""-"",G133:J133))),0))"),"1-2")</f>
        <v>1-2</v>
      </c>
      <c r="L133" s="95" t="str">
        <f>IF(COUNTA(G124,G127,G130,G133,H124,H127,H130,H133,I124,I127,I130,I133,J124,J127,J130,J133)=16,R133,"")</f>
        <v>4位</v>
      </c>
      <c r="M133" s="70"/>
      <c r="N133" s="96">
        <f>IFERROR(VALUE(LEFT(K133,FIND("-",K133)-1)),-1)</f>
        <v>1</v>
      </c>
      <c r="O133" s="97" t="str">
        <f>SUMPRODUCT(IFERROR(--(LEFT(G133:J133,FIND("-",G133:J133)-1)),0)) &amp; "/" &amp; (SUMPRODUCT(IFERROR(--(LEFT(G133:J133,FIND("-",G133:J133)-1)),0)) + SUMPRODUCT(IFERROR(--(RIGHT(G133:J133,LEN(G133:J133)-FIND("-",G133:J133))),0)))</f>
        <v>6/19</v>
      </c>
      <c r="P133" s="95" t="str">
        <f>IF((COUNTIF($N124,N133)+COUNTIF($N127,N133)+COUNTIF($N130,N133)+COUNTIF($N133,N133))=2, IFERROR(IFS(N133=$N124,IF(VALUE(LEFT(G133,FIND("-",G133)-1))&gt;VALUE(RIGHT(G133,LEN(G133)-FIND("-",G133))),1,0), N133=$N127,IF(VALUE(LEFT(H133,FIND("-",H133)-1))&gt;VALUE(RIGHT(H133,LEN(H133)-FIND("-",H133))),1,0), N133=$N130,IF(VALUE(LEFT(I133,FIND("-",I133)-1))&gt;VALUE(RIGHT(I133,LEN(I133)-FIND("-",I133))),1,0)), ""), "")</f>
        <v/>
      </c>
      <c r="Q133" s="98">
        <f t="array" ref="Q133">N133+IF(SUMPRODUCT(--({$N124;$N127;$N130;$N133}=N133))=2,P133*0.1,IF(SUMPRODUCT(--({$N124;$N127;$N130;$N133}=N133))&gt;=3,O134*0.01,0))</f>
        <v>1.003157895</v>
      </c>
      <c r="R133" s="95" t="str">
        <f t="array" ref="R133">_xlfn.RANK.EQ(Q133, {$Q124;$Q127;$Q130;$Q133}) &amp; "位"</f>
        <v>4位</v>
      </c>
      <c r="S133" s="99"/>
    </row>
    <row r="134" ht="5.25" customHeight="1">
      <c r="A134" s="70"/>
      <c r="B134" s="100"/>
      <c r="C134" s="101"/>
      <c r="D134" s="102"/>
      <c r="E134" s="102"/>
      <c r="F134" s="103"/>
      <c r="G134" s="31"/>
      <c r="H134" s="31"/>
      <c r="I134" s="31"/>
      <c r="J134" s="38"/>
      <c r="K134" s="107"/>
      <c r="L134" s="106"/>
      <c r="M134" s="70"/>
      <c r="N134" s="107"/>
      <c r="O134" s="108">
        <f>IFERROR(
  SUMPRODUCT(IFERROR(--(LEFT(G133:J133,FIND("-",G133:J133)-1)),0))
  /
  (SUMPRODUCT(IFERROR(--(LEFT(G133:J133,FIND("-",G133:J133)-1)),0)) + SUMPRODUCT(IFERROR(--(RIGHT(G133:J133,LEN(G133:J133)-FIND("-",G133:J133))),0)))
  , 0)</f>
        <v>0.3157894737</v>
      </c>
      <c r="P134" s="106"/>
      <c r="Q134" s="106"/>
      <c r="R134" s="106"/>
      <c r="S134" s="99"/>
    </row>
    <row r="135" ht="19.5" customHeight="1">
      <c r="A135" s="70"/>
      <c r="B135" s="122"/>
      <c r="C135" s="123" t="str">
        <f>IFERROR(VLOOKUP(B133&amp;"-"&amp;2,'リスト'!$B:$D,2,FALSE),"")</f>
        <v>西口 栄子</v>
      </c>
      <c r="D135" s="124"/>
      <c r="E135" s="124"/>
      <c r="F135" s="125" t="str">
        <f>IFERROR(VLOOKUP(B133&amp;"-"&amp;2,'リスト'!$B:$D,3,FALSE),"")</f>
        <v>プラセール</v>
      </c>
      <c r="G135" s="126"/>
      <c r="H135" s="126"/>
      <c r="I135" s="126"/>
      <c r="J135" s="127"/>
      <c r="K135" s="128"/>
      <c r="L135" s="129"/>
      <c r="M135" s="70"/>
      <c r="N135" s="128"/>
      <c r="O135" s="129"/>
      <c r="P135" s="129"/>
      <c r="Q135" s="129"/>
      <c r="R135" s="129"/>
      <c r="S135" s="99"/>
    </row>
    <row r="136">
      <c r="A136" s="70"/>
      <c r="B136" s="70"/>
      <c r="C136" s="70"/>
      <c r="D136" s="70"/>
      <c r="E136" s="70"/>
      <c r="F136" s="72"/>
      <c r="G136" s="73"/>
      <c r="H136" s="73"/>
      <c r="I136" s="73"/>
      <c r="J136" s="73"/>
      <c r="K136" s="70"/>
      <c r="L136" s="70"/>
      <c r="M136" s="70"/>
      <c r="N136" s="70"/>
      <c r="O136" s="70"/>
      <c r="P136" s="70"/>
      <c r="Q136" s="70"/>
      <c r="R136" s="70"/>
      <c r="S136" s="70"/>
    </row>
    <row r="137" ht="32.25" customHeight="1">
      <c r="A137" s="70"/>
      <c r="B137" s="74" t="s">
        <v>293</v>
      </c>
      <c r="D137" s="70"/>
      <c r="E137" s="75" t="s">
        <v>193</v>
      </c>
      <c r="F137" s="72"/>
      <c r="G137" s="73"/>
      <c r="H137" s="73"/>
      <c r="I137" s="76" t="str">
        <f>TRIM('予選'!$A$1)</f>
        <v>　 　　　　　 サンプル</v>
      </c>
      <c r="M137" s="70"/>
      <c r="N137" s="70"/>
      <c r="O137" s="70"/>
      <c r="P137" s="70"/>
      <c r="Q137" s="70"/>
      <c r="R137" s="70"/>
      <c r="S137" s="70"/>
    </row>
    <row r="138">
      <c r="A138" s="70"/>
      <c r="B138" s="77" t="s">
        <v>340</v>
      </c>
      <c r="C138" s="78"/>
      <c r="D138" s="78"/>
      <c r="E138" s="78"/>
      <c r="F138" s="79"/>
      <c r="G138" s="80" t="str">
        <f>LEFT(C139, FIND(" ", C139 &amp; " ") - 1) &amp; "・" &amp; LEFT(C141, FIND(" ", C141 &amp; " ") - 1)
</f>
        <v>細川・厨子</v>
      </c>
      <c r="H138" s="80" t="str">
        <f>LEFT(C142, FIND(" ", C142 &amp; " ") - 1) &amp; "・" &amp; LEFT(C144, FIND(" ", C144 &amp; " ") - 1)
</f>
        <v>柳武・鳥飼</v>
      </c>
      <c r="I138" s="80" t="str">
        <f>LEFT(C145, FIND(" ", C145 &amp; " ") - 1) &amp; "・" &amp; LEFT(C147, FIND(" ", C147 &amp; " ") - 1)
</f>
        <v>盛本・仲曽</v>
      </c>
      <c r="J138" s="81" t="str">
        <f>LEFT(C148, FIND(" ", C148 &amp; " ") - 1) &amp; "・" &amp; LEFT(C150, FIND(" ", C150 &amp; " ") - 1)
</f>
        <v>高木・田中</v>
      </c>
      <c r="K138" s="82" t="s">
        <v>341</v>
      </c>
      <c r="L138" s="83" t="s">
        <v>198</v>
      </c>
      <c r="M138" s="70"/>
      <c r="N138" s="84" t="s">
        <v>342</v>
      </c>
      <c r="O138" s="85" t="s">
        <v>343</v>
      </c>
      <c r="P138" s="86" t="s">
        <v>344</v>
      </c>
      <c r="Q138" s="86" t="s">
        <v>345</v>
      </c>
      <c r="R138" s="83" t="s">
        <v>198</v>
      </c>
      <c r="S138" s="87"/>
    </row>
    <row r="139" ht="22.5" customHeight="1">
      <c r="A139" s="70"/>
      <c r="B139" s="88">
        <f>B124+4</f>
        <v>37</v>
      </c>
      <c r="C139" s="89" t="str">
        <f>IFERROR(VLOOKUP(B139&amp;"-"&amp;1,'リスト'!$B:$D,2,FALSE),"")</f>
        <v>細川 善貴</v>
      </c>
      <c r="F139" s="90" t="str">
        <f>IFERROR(VLOOKUP(B139&amp;"-"&amp;1,'リスト'!$B:$D,3,FALSE),"")</f>
        <v>ｄｏＭｅ</v>
      </c>
      <c r="G139" s="91" t="str">
        <f>IFERROR(__xludf.DUMMYFUNCTION("SPARKLINE({1,0})"),"")</f>
        <v/>
      </c>
      <c r="H139" s="92" t="s">
        <v>346</v>
      </c>
      <c r="I139" s="92" t="s">
        <v>346</v>
      </c>
      <c r="J139" s="93" t="s">
        <v>346</v>
      </c>
      <c r="K139" s="94" t="str">
        <f>IFERROR(__xludf.DUMMYFUNCTION("SUMPRODUCT(--(REGEXMATCH(TO_TEXT(G139:J139), ""-"")), IFERROR(--(LEFT(G139:J139,FIND(""-"",G139:J139)-1)&gt;RIGHT(G139:J139,LEN(G139:J139)-FIND(""-"",G139:J139))),0)) &amp; ""-"" &amp; SUMPRODUCT(--(REGEXMATCH(TO_TEXT(G139:J139), ""-"")), IFERROR(--(LEFT(G139:J139,F"&amp;"IND(""-"",G139:J139)-1)&lt;RIGHT(G139:J139,LEN(G139:J139)-FIND(""-"",G139:J139))),0))"),"3-0")</f>
        <v>3-0</v>
      </c>
      <c r="L139" s="95" t="str">
        <f>IF(COUNTA(G139,G142,G145,G148,H139,H142,H145,H148,I139,I142,I145,I148,J139,J142,J145,J148)=16,R139,"")</f>
        <v>1位</v>
      </c>
      <c r="M139" s="70"/>
      <c r="N139" s="96">
        <f>IFERROR(VALUE(LEFT(K139,FIND("-",K139)-1)),-1)</f>
        <v>3</v>
      </c>
      <c r="O139" s="97" t="str">
        <f>SUMPRODUCT(IFERROR(--(LEFT(G139:J139,FIND("-",G139:J139)-1)),0)) &amp; "/" &amp; (SUMPRODUCT(IFERROR(--(LEFT(G139:J139,FIND("-",G139:J139)-1)),0)) + SUMPRODUCT(IFERROR(--(RIGHT(G139:J139,LEN(G139:J139)-FIND("-",G139:J139))),0)))</f>
        <v>18/18</v>
      </c>
      <c r="P139" s="95" t="str">
        <f>IF((COUNTIF($N139,N139)+COUNTIF($N142,N139)+COUNTIF($N145,N139)+COUNTIF($N148,N139))=2, IFERROR(IFS(N139=$N142,IF(VALUE(LEFT(H139,FIND("-",H139)-1))&gt;VALUE(RIGHT(H139,LEN(H139)-FIND("-",H139))),1,0), N139=$N145,IF(VALUE(LEFT(I139,FIND("-",I139)-1))&gt;VALUE(RIGHT(I139,LEN(I139)-FIND("-",I139))),1,0), N139=$N148,IF(VALUE(LEFT(J139,FIND("-",J139)-1))&gt;VALUE(RIGHT(J139,LEN(J139)-FIND("-",J139))),1,0)), ""), "")</f>
        <v/>
      </c>
      <c r="Q139" s="98">
        <f t="array" ref="Q139">N139+IF(SUMPRODUCT(--({$N139;$N142;$N145;$N148}=N139))=2,P139*0.1,IF(SUMPRODUCT(--({$N139;$N142;$N145;$N148}=N139))&gt;=3,O140*0.01,0))</f>
        <v>3</v>
      </c>
      <c r="R139" s="95" t="str">
        <f t="array" ref="R139">_xlfn.RANK.EQ(Q139, {$Q139;$Q142;$Q145;$Q148}) &amp; "位"</f>
        <v>1位</v>
      </c>
      <c r="S139" s="99"/>
    </row>
    <row r="140" ht="5.25" customHeight="1">
      <c r="A140" s="70"/>
      <c r="B140" s="100"/>
      <c r="C140" s="101"/>
      <c r="D140" s="102"/>
      <c r="E140" s="102"/>
      <c r="F140" s="103"/>
      <c r="G140" s="31"/>
      <c r="H140" s="104"/>
      <c r="I140" s="104"/>
      <c r="J140" s="105"/>
      <c r="K140" s="106"/>
      <c r="L140" s="106"/>
      <c r="M140" s="70"/>
      <c r="N140" s="107"/>
      <c r="O140" s="108">
        <f>IFERROR(
  SUMPRODUCT(IFERROR(--(LEFT(G139:J139,FIND("-",G139:J139)-1)),0))
  /
  (SUMPRODUCT(IFERROR(--(LEFT(G139:J139,FIND("-",G139:J139)-1)),0)) + SUMPRODUCT(IFERROR(--(RIGHT(G139:J139,LEN(G139:J139)-FIND("-",G139:J139))),0)))
  , 0)</f>
        <v>1</v>
      </c>
      <c r="P140" s="106"/>
      <c r="Q140" s="106"/>
      <c r="R140" s="106"/>
      <c r="S140" s="99"/>
    </row>
    <row r="141" ht="18.75" customHeight="1">
      <c r="A141" s="70"/>
      <c r="B141" s="109"/>
      <c r="C141" s="110" t="str">
        <f>IFERROR(VLOOKUP(B139&amp;"-"&amp;2,'リスト'!$B:$D,2,FALSE),"")</f>
        <v>厨子 沙也香</v>
      </c>
      <c r="D141" s="24"/>
      <c r="E141" s="24"/>
      <c r="F141" s="111" t="str">
        <f>IFERROR(VLOOKUP(B139&amp;"-"&amp;2,'リスト'!$B:$D,3,FALSE),"")</f>
        <v>フリー</v>
      </c>
      <c r="G141" s="25"/>
      <c r="H141" s="112"/>
      <c r="I141" s="112"/>
      <c r="J141" s="113"/>
      <c r="K141" s="114"/>
      <c r="L141" s="114"/>
      <c r="M141" s="70"/>
      <c r="N141" s="115"/>
      <c r="O141" s="114"/>
      <c r="P141" s="114"/>
      <c r="Q141" s="114"/>
      <c r="R141" s="114"/>
      <c r="S141" s="99"/>
    </row>
    <row r="142" ht="18.75" customHeight="1">
      <c r="A142" s="70"/>
      <c r="B142" s="116">
        <f>B127+4</f>
        <v>38</v>
      </c>
      <c r="C142" s="89" t="str">
        <f>IFERROR(VLOOKUP(B142&amp;"-"&amp;1,'リスト'!$B:$D,2,FALSE),"")</f>
        <v>柳武 剛</v>
      </c>
      <c r="F142" s="90" t="str">
        <f>IFERROR(VLOOKUP(B142&amp;"-"&amp;1,'リスト'!$B:$D,3,FALSE),"")</f>
        <v>Vivace</v>
      </c>
      <c r="G142" s="117" t="str">
        <f>IFERROR(MID(H139, FIND("-", H139) + 1, 100) &amp; "-" &amp; LEFT(H139, FIND("-", H139) - 1), "")</f>
        <v>0-6</v>
      </c>
      <c r="H142" s="118" t="str">
        <f>IFERROR(__xludf.DUMMYFUNCTION("SPARKLINE({1,0})"),"")</f>
        <v/>
      </c>
      <c r="I142" s="92" t="s">
        <v>346</v>
      </c>
      <c r="J142" s="93" t="s">
        <v>346</v>
      </c>
      <c r="K142" s="94" t="str">
        <f>IFERROR(__xludf.DUMMYFUNCTION("SUMPRODUCT(--(REGEXMATCH(TO_TEXT(G142:J142), ""-"")), IFERROR(--(LEFT(G142:J142,FIND(""-"",G142:J142)-1)&gt;RIGHT(G142:J142,LEN(G142:J142)-FIND(""-"",G142:J142))),0)) &amp; ""-"" &amp; SUMPRODUCT(--(REGEXMATCH(TO_TEXT(G142:J142), ""-"")), IFERROR(--(LEFT(G142:J142,F"&amp;"IND(""-"",G142:J142)-1)&lt;RIGHT(G142:J142,LEN(G142:J142)-FIND(""-"",G142:J142))),0))"),"2-1")</f>
        <v>2-1</v>
      </c>
      <c r="L142" s="95" t="str">
        <f>IF(COUNTA(G139,G142,G145,G148,H139,H142,H145,H148,I139,I142,I145,I148,J139,J142,J145,J148)=16,R142,"")</f>
        <v>2位</v>
      </c>
      <c r="M142" s="70"/>
      <c r="N142" s="96">
        <f>IFERROR(VALUE(LEFT(K142,FIND("-",K142)-1)),-1)</f>
        <v>2</v>
      </c>
      <c r="O142" s="97" t="str">
        <f>SUMPRODUCT(IFERROR(--(LEFT(G142:J142,FIND("-",G142:J142)-1)),0)) &amp; "/" &amp; (SUMPRODUCT(IFERROR(--(LEFT(G142:J142,FIND("-",G142:J142)-1)),0)) + SUMPRODUCT(IFERROR(--(RIGHT(G142:J142,LEN(G142:J142)-FIND("-",G142:J142))),0)))</f>
        <v>12/18</v>
      </c>
      <c r="P142" s="95" t="str">
        <f>IF((COUNTIF($N139,N142)+COUNTIF($N142,N142)+COUNTIF($N145,N142)+COUNTIF($N148,N142))=2, IFERROR(IFS(N142=$N139,IF(VALUE(LEFT(G142,FIND("-",G142)-1))&gt;VALUE(RIGHT(G142,LEN(G142)-FIND("-",G142))),1,0), N142=$N145,IF(VALUE(LEFT(I142,FIND("-",I142)-1))&gt;VALUE(RIGHT(I142,LEN(I142)-FIND("-",I142))),1,0), N142=$N148,IF(VALUE(LEFT(J142,FIND("-",J142)-1))&gt;VALUE(RIGHT(J142,LEN(J142)-FIND("-",J142))),1,0)), ""), "")</f>
        <v/>
      </c>
      <c r="Q142" s="98">
        <f t="array" ref="Q142">N142+IF(SUMPRODUCT(--({$N139;$N142;$N145;$N148}=N142))=2,P142*0.1,IF(SUMPRODUCT(--({$N139;$N142;$N145;$N148}=N142))&gt;=3,O143*0.01,0))</f>
        <v>2</v>
      </c>
      <c r="R142" s="95" t="str">
        <f t="array" ref="R142">_xlfn.RANK.EQ(Q142, {$Q139;$Q142;$Q145;$Q148}) &amp; "位"</f>
        <v>2位</v>
      </c>
      <c r="S142" s="99"/>
    </row>
    <row r="143" ht="5.25" customHeight="1">
      <c r="A143" s="70"/>
      <c r="B143" s="100"/>
      <c r="C143" s="101"/>
      <c r="D143" s="102"/>
      <c r="E143" s="102"/>
      <c r="F143" s="103"/>
      <c r="G143" s="31"/>
      <c r="H143" s="104"/>
      <c r="I143" s="104"/>
      <c r="J143" s="105"/>
      <c r="K143" s="106"/>
      <c r="L143" s="106"/>
      <c r="M143" s="70"/>
      <c r="N143" s="107"/>
      <c r="O143" s="108">
        <f>IFERROR(
  SUMPRODUCT(IFERROR(--(LEFT(G142:J142,FIND("-",G142:J142)-1)),0))
  /
  (SUMPRODUCT(IFERROR(--(LEFT(G142:J142,FIND("-",G142:J142)-1)),0)) + SUMPRODUCT(IFERROR(--(RIGHT(G142:J142,LEN(G142:J142)-FIND("-",G142:J142))),0)))
  , 0)</f>
        <v>0.6666666667</v>
      </c>
      <c r="P143" s="106"/>
      <c r="Q143" s="106"/>
      <c r="R143" s="106"/>
      <c r="S143" s="99"/>
    </row>
    <row r="144" ht="18.75" customHeight="1">
      <c r="A144" s="70"/>
      <c r="B144" s="109"/>
      <c r="C144" s="110" t="str">
        <f>IFERROR(VLOOKUP(B142&amp;"-"&amp;2,'リスト'!$B:$D,2,FALSE),"")</f>
        <v>鳥飼 明子</v>
      </c>
      <c r="D144" s="24"/>
      <c r="E144" s="24"/>
      <c r="F144" s="111" t="str">
        <f>IFERROR(VLOOKUP(B142&amp;"-"&amp;2,'リスト'!$B:$D,3,FALSE),"")</f>
        <v>フリー</v>
      </c>
      <c r="G144" s="25"/>
      <c r="H144" s="112"/>
      <c r="I144" s="112"/>
      <c r="J144" s="113"/>
      <c r="K144" s="114"/>
      <c r="L144" s="114"/>
      <c r="M144" s="70"/>
      <c r="N144" s="115"/>
      <c r="O144" s="114"/>
      <c r="P144" s="114"/>
      <c r="Q144" s="114"/>
      <c r="R144" s="114"/>
      <c r="S144" s="99"/>
    </row>
    <row r="145" ht="18.75" customHeight="1">
      <c r="A145" s="70"/>
      <c r="B145" s="88">
        <f>B130+4</f>
        <v>39</v>
      </c>
      <c r="C145" s="89" t="str">
        <f>IFERROR(VLOOKUP(B145&amp;"-"&amp;1,'リスト'!$B:$D,2,FALSE),"")</f>
        <v>盛本 貴之</v>
      </c>
      <c r="F145" s="90" t="str">
        <f>IFERROR(VLOOKUP(B145&amp;"-"&amp;1,'リスト'!$B:$D,3,FALSE),"")</f>
        <v>カプリス</v>
      </c>
      <c r="G145" s="117" t="str">
        <f>IFERROR(MID(I139, FIND("-", I139) + 1, 100) &amp; "-" &amp; LEFT(I139, FIND("-", I139) - 1), "")</f>
        <v>0-6</v>
      </c>
      <c r="H145" s="117" t="str">
        <f>IFERROR(MID(I142, FIND("-", I142) + 1, 100) &amp; "-" &amp; LEFT(I142, FIND("-", I142) - 1), "")</f>
        <v>0-6</v>
      </c>
      <c r="I145" s="118" t="str">
        <f>IFERROR(__xludf.DUMMYFUNCTION("SPARKLINE({1,0})"),"")</f>
        <v/>
      </c>
      <c r="J145" s="93" t="s">
        <v>346</v>
      </c>
      <c r="K145" s="94" t="str">
        <f>IFERROR(__xludf.DUMMYFUNCTION("SUMPRODUCT(--(REGEXMATCH(TO_TEXT(G145:J145), ""-"")), IFERROR(--(LEFT(G145:J145,FIND(""-"",G145:J145)-1)&gt;RIGHT(G145:J145,LEN(G145:J145)-FIND(""-"",G145:J145))),0)) &amp; ""-"" &amp; SUMPRODUCT(--(REGEXMATCH(TO_TEXT(G145:J145), ""-"")), IFERROR(--(LEFT(G145:J145,F"&amp;"IND(""-"",G145:J145)-1)&lt;RIGHT(G145:J145,LEN(G145:J145)-FIND(""-"",G145:J145))),0))"),"1-2")</f>
        <v>1-2</v>
      </c>
      <c r="L145" s="95" t="str">
        <f>IF(COUNTA(G139,G142,G145,G148,H139,H142,H145,H148,I139,I142,I145,I148,J139,J142,J145,J148)=16,R145,"")</f>
        <v>3位</v>
      </c>
      <c r="M145" s="70"/>
      <c r="N145" s="96">
        <f>IFERROR(VALUE(LEFT(K145,FIND("-",K145)-1)),-1)</f>
        <v>1</v>
      </c>
      <c r="O145" s="97" t="str">
        <f>SUMPRODUCT(IFERROR(--(LEFT(G145:J145,FIND("-",G145:J145)-1)),0)) &amp; "/" &amp; (SUMPRODUCT(IFERROR(--(LEFT(G145:J145,FIND("-",G145:J145)-1)),0)) + SUMPRODUCT(IFERROR(--(RIGHT(G145:J145,LEN(G145:J145)-FIND("-",G145:J145))),0)))</f>
        <v>6/18</v>
      </c>
      <c r="P145" s="95" t="str">
        <f>IF((COUNTIF($N139,N145)+COUNTIF($N142,N145)+COUNTIF($N145,N145)+COUNTIF($N148,N145))=2, IFERROR(IFS(N145=$N139,IF(VALUE(LEFT(G145,FIND("-",G145)-1))&gt;VALUE(RIGHT(G145,LEN(G145)-FIND("-",G145))),1,0), N145=$N142,IF(VALUE(LEFT(H145,FIND("-",H145)-1))&gt;VALUE(RIGHT(H145,LEN(H145)-FIND("-",H145))),1,0), N145=$N148,IF(VALUE(LEFT(J145,FIND("-",J145)-1))&gt;VALUE(RIGHT(J145,LEN(J145)-FIND("-",J145))),1,0)), ""), "")</f>
        <v/>
      </c>
      <c r="Q145" s="98">
        <f t="array" ref="Q145">N145+IF(SUMPRODUCT(--({$N139;$N142;$N145;$N148}=N145))=2,P145*0.1,IF(SUMPRODUCT(--({$N139;$N142;$N145;$N148}=N145))&gt;=3,O146*0.01,0))</f>
        <v>1</v>
      </c>
      <c r="R145" s="95" t="str">
        <f t="array" ref="R145">_xlfn.RANK.EQ(Q145, {$Q139;$Q142;$Q145;$Q148}) &amp; "位"</f>
        <v>3位</v>
      </c>
      <c r="S145" s="99"/>
    </row>
    <row r="146" ht="5.25" customHeight="1">
      <c r="A146" s="70"/>
      <c r="B146" s="100"/>
      <c r="C146" s="101"/>
      <c r="D146" s="102"/>
      <c r="E146" s="102"/>
      <c r="F146" s="103"/>
      <c r="G146" s="31"/>
      <c r="H146" s="31"/>
      <c r="I146" s="104"/>
      <c r="J146" s="105"/>
      <c r="K146" s="106"/>
      <c r="L146" s="106"/>
      <c r="M146" s="70"/>
      <c r="N146" s="107"/>
      <c r="O146" s="108">
        <f>IFERROR(
  SUMPRODUCT(IFERROR(--(LEFT(G145:J145,FIND("-",G145:J145)-1)),0))
  /
  (SUMPRODUCT(IFERROR(--(LEFT(G145:J145,FIND("-",G145:J145)-1)),0)) + SUMPRODUCT(IFERROR(--(RIGHT(G145:J145,LEN(G145:J145)-FIND("-",G145:J145))),0)))
  , 0)</f>
        <v>0.3333333333</v>
      </c>
      <c r="P146" s="106"/>
      <c r="Q146" s="106"/>
      <c r="R146" s="106"/>
      <c r="S146" s="99"/>
    </row>
    <row r="147" ht="18.75" customHeight="1">
      <c r="A147" s="70"/>
      <c r="B147" s="109"/>
      <c r="C147" s="110" t="str">
        <f>IFERROR(VLOOKUP(B145&amp;"-"&amp;2,'リスト'!$B:$D,2,FALSE),"")</f>
        <v>仲曽 真由美</v>
      </c>
      <c r="D147" s="24"/>
      <c r="E147" s="24"/>
      <c r="F147" s="111" t="str">
        <f>IFERROR(VLOOKUP(B145&amp;"-"&amp;2,'リスト'!$B:$D,3,FALSE),"")</f>
        <v>BSC</v>
      </c>
      <c r="G147" s="25"/>
      <c r="H147" s="25"/>
      <c r="I147" s="112"/>
      <c r="J147" s="113"/>
      <c r="K147" s="114"/>
      <c r="L147" s="114"/>
      <c r="M147" s="70"/>
      <c r="N147" s="115"/>
      <c r="O147" s="114"/>
      <c r="P147" s="114"/>
      <c r="Q147" s="114"/>
      <c r="R147" s="114"/>
      <c r="S147" s="99"/>
    </row>
    <row r="148" ht="18.75" customHeight="1">
      <c r="A148" s="70"/>
      <c r="B148" s="116">
        <f>B133+4</f>
        <v>40</v>
      </c>
      <c r="C148" s="89" t="str">
        <f>IFERROR(VLOOKUP(B148&amp;"-"&amp;1,'リスト'!$B:$D,2,FALSE),"")</f>
        <v>高木 克憲</v>
      </c>
      <c r="F148" s="153" t="str">
        <f>IFERROR(VLOOKUP(B148&amp;"-"&amp;1,'リスト'!$B:$D,3,FALSE),"")</f>
        <v>ｏｆｆ</v>
      </c>
      <c r="G148" s="119" t="str">
        <f>IFERROR(MID(J139, FIND("-", J139) + 1, 100) &amp; "-" &amp; LEFT(J139, FIND("-", J139) - 1), "")</f>
        <v>0-6</v>
      </c>
      <c r="H148" s="117" t="str">
        <f>IFERROR(MID(J142, FIND("-", J142) + 1, 100) &amp; "-" &amp; LEFT(J142, FIND("-", J142) - 1), "")</f>
        <v>0-6</v>
      </c>
      <c r="I148" s="117" t="str">
        <f>IFERROR(MID(J145, FIND("-", J145) + 1, 100) &amp; "-" &amp; LEFT(J145, FIND("-", J145) - 1), "")</f>
        <v>0-6</v>
      </c>
      <c r="J148" s="131" t="str">
        <f>IFERROR(__xludf.DUMMYFUNCTION("SPARKLINE({1,0})"),"")</f>
        <v/>
      </c>
      <c r="K148" s="121" t="str">
        <f>IFERROR(__xludf.DUMMYFUNCTION("SUMPRODUCT(--(REGEXMATCH(TO_TEXT(G148:J148), ""-"")), IFERROR(--(LEFT(G148:J148,FIND(""-"",G148:J148)-1)&gt;RIGHT(G148:J148,LEN(G148:J148)-FIND(""-"",G148:J148))),0)) &amp; ""-"" &amp; SUMPRODUCT(--(REGEXMATCH(TO_TEXT(G148:J148), ""-"")), IFERROR(--(LEFT(G148:J148,F"&amp;"IND(""-"",G148:J148)-1)&lt;RIGHT(G148:J148,LEN(G148:J148)-FIND(""-"",G148:J148))),0))"),"0-3")</f>
        <v>0-3</v>
      </c>
      <c r="L148" s="95" t="str">
        <f>IF(COUNTA(G139,G142,G145,G148,H139,H142,H145,H148,I139,I142,I145,I148,J139,J142,J145,J148)=16,R148,"")</f>
        <v>4位</v>
      </c>
      <c r="M148" s="70"/>
      <c r="N148" s="96">
        <f>IFERROR(VALUE(LEFT(K148,FIND("-",K148)-1)),-1)</f>
        <v>0</v>
      </c>
      <c r="O148" s="97" t="str">
        <f>SUMPRODUCT(IFERROR(--(LEFT(G148:J148,FIND("-",G148:J148)-1)),0)) &amp; "/" &amp; (SUMPRODUCT(IFERROR(--(LEFT(G148:J148,FIND("-",G148:J148)-1)),0)) + SUMPRODUCT(IFERROR(--(RIGHT(G148:J148,LEN(G148:J148)-FIND("-",G148:J148))),0)))</f>
        <v>0/18</v>
      </c>
      <c r="P148" s="95" t="str">
        <f>IF((COUNTIF($N139,N148)+COUNTIF($N142,N148)+COUNTIF($N145,N148)+COUNTIF($N148,N148))=2, IFERROR(IFS(N148=$N139,IF(VALUE(LEFT(G148,FIND("-",G148)-1))&gt;VALUE(RIGHT(G148,LEN(G148)-FIND("-",G148))),1,0), N148=$N142,IF(VALUE(LEFT(H148,FIND("-",H148)-1))&gt;VALUE(RIGHT(H148,LEN(H148)-FIND("-",H148))),1,0), N148=$N145,IF(VALUE(LEFT(I148,FIND("-",I148)-1))&gt;VALUE(RIGHT(I148,LEN(I148)-FIND("-",I148))),1,0)), ""), "")</f>
        <v/>
      </c>
      <c r="Q148" s="98">
        <f t="array" ref="Q148">N148+IF(SUMPRODUCT(--({$N139;$N142;$N145;$N148}=N148))=2,P148*0.1,IF(SUMPRODUCT(--({$N139;$N142;$N145;$N148}=N148))&gt;=3,O149*0.01,0))</f>
        <v>0</v>
      </c>
      <c r="R148" s="95" t="str">
        <f t="array" ref="R148">_xlfn.RANK.EQ(Q148, {$Q139;$Q142;$Q145;$Q148}) &amp; "位"</f>
        <v>4位</v>
      </c>
      <c r="S148" s="99"/>
    </row>
    <row r="149" ht="5.25" customHeight="1">
      <c r="A149" s="70"/>
      <c r="B149" s="100"/>
      <c r="C149" s="101"/>
      <c r="D149" s="102"/>
      <c r="E149" s="102"/>
      <c r="F149" s="103"/>
      <c r="G149" s="31"/>
      <c r="H149" s="31"/>
      <c r="I149" s="31"/>
      <c r="J149" s="105"/>
      <c r="K149" s="107"/>
      <c r="L149" s="106"/>
      <c r="M149" s="70"/>
      <c r="N149" s="107"/>
      <c r="O149" s="108">
        <f>IFERROR(
  SUMPRODUCT(IFERROR(--(LEFT(G148:J148,FIND("-",G148:J148)-1)),0))
  /
  (SUMPRODUCT(IFERROR(--(LEFT(G148:J148,FIND("-",G148:J148)-1)),0)) + SUMPRODUCT(IFERROR(--(RIGHT(G148:J148,LEN(G148:J148)-FIND("-",G148:J148))),0)))
  , 0)</f>
        <v>0</v>
      </c>
      <c r="P149" s="106"/>
      <c r="Q149" s="106"/>
      <c r="R149" s="106"/>
      <c r="S149" s="99"/>
    </row>
    <row r="150" ht="19.5" customHeight="1">
      <c r="A150" s="70"/>
      <c r="B150" s="122"/>
      <c r="C150" s="123" t="str">
        <f>IFERROR(VLOOKUP(B148&amp;"-"&amp;2,'リスト'!$B:$D,2,FALSE),"")</f>
        <v>田中 好美</v>
      </c>
      <c r="D150" s="124"/>
      <c r="E150" s="124"/>
      <c r="F150" s="125" t="str">
        <f>IFERROR(VLOOKUP(B148&amp;"-"&amp;2,'リスト'!$B:$D,3,FALSE),"")</f>
        <v>あみたま</v>
      </c>
      <c r="G150" s="126"/>
      <c r="H150" s="126"/>
      <c r="I150" s="126"/>
      <c r="J150" s="132"/>
      <c r="K150" s="128"/>
      <c r="L150" s="129"/>
      <c r="M150" s="70"/>
      <c r="N150" s="128"/>
      <c r="O150" s="129"/>
      <c r="P150" s="129"/>
      <c r="Q150" s="129"/>
      <c r="R150" s="129"/>
      <c r="S150" s="99"/>
    </row>
    <row r="151">
      <c r="A151" s="70"/>
      <c r="B151" s="70"/>
      <c r="C151" s="70"/>
      <c r="D151" s="70"/>
      <c r="E151" s="70"/>
      <c r="F151" s="72"/>
      <c r="G151" s="73"/>
      <c r="H151" s="73"/>
      <c r="I151" s="73"/>
      <c r="J151" s="73"/>
      <c r="K151" s="70"/>
      <c r="L151" s="70"/>
      <c r="M151" s="70"/>
      <c r="N151" s="70"/>
      <c r="O151" s="70"/>
      <c r="P151" s="70"/>
      <c r="Q151" s="70"/>
      <c r="R151" s="70"/>
      <c r="S151" s="70"/>
    </row>
    <row r="152" ht="32.25" customHeight="1">
      <c r="A152" s="70"/>
      <c r="B152" s="74" t="s">
        <v>305</v>
      </c>
      <c r="D152" s="70"/>
      <c r="E152" s="75" t="s">
        <v>193</v>
      </c>
      <c r="F152" s="72"/>
      <c r="G152" s="73"/>
      <c r="H152" s="73"/>
      <c r="I152" s="76" t="str">
        <f>TRIM('予選'!$A$1)</f>
        <v>　 　　　　　 サンプル</v>
      </c>
      <c r="M152" s="70"/>
      <c r="N152" s="70"/>
      <c r="O152" s="70"/>
      <c r="P152" s="70"/>
      <c r="Q152" s="70"/>
      <c r="R152" s="70"/>
      <c r="S152" s="70"/>
    </row>
    <row r="153">
      <c r="A153" s="70"/>
      <c r="B153" s="77" t="s">
        <v>340</v>
      </c>
      <c r="C153" s="78"/>
      <c r="D153" s="78"/>
      <c r="E153" s="78"/>
      <c r="F153" s="79"/>
      <c r="G153" s="80" t="str">
        <f>LEFT(C154, FIND(" ", C154 &amp; " ") - 1) &amp; "・" &amp; LEFT(C156, FIND(" ", C156 &amp; " ") - 1)
</f>
        <v>丸川・山根</v>
      </c>
      <c r="H153" s="80" t="str">
        <f>LEFT(C157, FIND(" ", C157 &amp; " ") - 1) &amp; "・" &amp; LEFT(C159, FIND(" ", C159 &amp; " ") - 1)
</f>
        <v>田中・林</v>
      </c>
      <c r="I153" s="80" t="str">
        <f>LEFT(C160, FIND(" ", C160 &amp; " ") - 1) &amp; "・" &amp; LEFT(C162, FIND(" ", C162 &amp; " ") - 1)
</f>
        <v>難波・森</v>
      </c>
      <c r="J153" s="81" t="str">
        <f>LEFT(C163, FIND(" ", C163 &amp; " ") - 1) &amp; "・" &amp; LEFT(C165, FIND(" ", C165 &amp; " ") - 1)
</f>
        <v>檜垣・橋本</v>
      </c>
      <c r="K153" s="82" t="s">
        <v>341</v>
      </c>
      <c r="L153" s="83" t="s">
        <v>198</v>
      </c>
      <c r="M153" s="70"/>
      <c r="N153" s="84" t="s">
        <v>342</v>
      </c>
      <c r="O153" s="85" t="s">
        <v>343</v>
      </c>
      <c r="P153" s="86" t="s">
        <v>344</v>
      </c>
      <c r="Q153" s="86" t="s">
        <v>345</v>
      </c>
      <c r="R153" s="83" t="s">
        <v>198</v>
      </c>
      <c r="S153" s="87"/>
    </row>
    <row r="154" ht="22.5" customHeight="1">
      <c r="A154" s="70"/>
      <c r="B154" s="88">
        <f>B139+4</f>
        <v>41</v>
      </c>
      <c r="C154" s="89" t="str">
        <f>IFERROR(VLOOKUP(B154&amp;"-"&amp;1,'リスト'!$B:$D,2,FALSE),"")</f>
        <v>丸川 康生</v>
      </c>
      <c r="F154" s="90" t="str">
        <f>IFERROR(VLOOKUP(B154&amp;"-"&amp;1,'リスト'!$B:$D,3,FALSE),"")</f>
        <v>因幡打輪</v>
      </c>
      <c r="G154" s="91" t="str">
        <f>IFERROR(__xludf.DUMMYFUNCTION("SPARKLINE({1,0})"),"")</f>
        <v/>
      </c>
      <c r="H154" s="92" t="s">
        <v>346</v>
      </c>
      <c r="I154" s="92" t="s">
        <v>346</v>
      </c>
      <c r="J154" s="93" t="s">
        <v>346</v>
      </c>
      <c r="K154" s="94" t="str">
        <f>IFERROR(__xludf.DUMMYFUNCTION("SUMPRODUCT(--(REGEXMATCH(TO_TEXT(G154:J154), ""-"")), IFERROR(--(LEFT(G154:J154,FIND(""-"",G154:J154)-1)&gt;RIGHT(G154:J154,LEN(G154:J154)-FIND(""-"",G154:J154))),0)) &amp; ""-"" &amp; SUMPRODUCT(--(REGEXMATCH(TO_TEXT(G154:J154), ""-"")), IFERROR(--(LEFT(G154:J154,F"&amp;"IND(""-"",G154:J154)-1)&lt;RIGHT(G154:J154,LEN(G154:J154)-FIND(""-"",G154:J154))),0))"),"3-0")</f>
        <v>3-0</v>
      </c>
      <c r="L154" s="95" t="str">
        <f>IF(COUNTA(G154,G157,G160,G163,H154,H157,H160,H163,I154,I157,I160,I163,J154,J157,J160,J163)=16,R154,"")</f>
        <v>1位</v>
      </c>
      <c r="M154" s="70"/>
      <c r="N154" s="96">
        <f>IFERROR(VALUE(LEFT(K154,FIND("-",K154)-1)),-1)</f>
        <v>3</v>
      </c>
      <c r="O154" s="97" t="str">
        <f>SUMPRODUCT(IFERROR(--(LEFT(G154:J154,FIND("-",G154:J154)-1)),0)) &amp; "/" &amp; (SUMPRODUCT(IFERROR(--(LEFT(G154:J154,FIND("-",G154:J154)-1)),0)) + SUMPRODUCT(IFERROR(--(RIGHT(G154:J154,LEN(G154:J154)-FIND("-",G154:J154))),0)))</f>
        <v>18/18</v>
      </c>
      <c r="P154" s="95" t="str">
        <f>IF((COUNTIF($N154,N154)+COUNTIF($N157,N154)+COUNTIF($N160,N154)+COUNTIF($N163,N154))=2, IFERROR(IFS(N154=$N157,IF(VALUE(LEFT(H154,FIND("-",H154)-1))&gt;VALUE(RIGHT(H154,LEN(H154)-FIND("-",H154))),1,0), N154=$N160,IF(VALUE(LEFT(I154,FIND("-",I154)-1))&gt;VALUE(RIGHT(I154,LEN(I154)-FIND("-",I154))),1,0), N154=$N163,IF(VALUE(LEFT(J154,FIND("-",J154)-1))&gt;VALUE(RIGHT(J154,LEN(J154)-FIND("-",J154))),1,0)), ""), "")</f>
        <v/>
      </c>
      <c r="Q154" s="98">
        <f t="array" ref="Q154">N154+IF(SUMPRODUCT(--({$N154;$N157;$N160;$N163}=N154))=2,P154*0.1,IF(SUMPRODUCT(--({$N154;$N157;$N160;$N163}=N154))&gt;=3,O155*0.01,0))</f>
        <v>3</v>
      </c>
      <c r="R154" s="95" t="str">
        <f t="array" ref="R154">_xlfn.RANK.EQ(Q154, {$Q154;$Q157;$Q160;$Q163}) &amp; "位"</f>
        <v>1位</v>
      </c>
      <c r="S154" s="99"/>
    </row>
    <row r="155" ht="5.25" customHeight="1">
      <c r="A155" s="70"/>
      <c r="B155" s="100"/>
      <c r="C155" s="101"/>
      <c r="D155" s="102"/>
      <c r="E155" s="102"/>
      <c r="F155" s="103"/>
      <c r="G155" s="31"/>
      <c r="H155" s="104"/>
      <c r="I155" s="104"/>
      <c r="J155" s="105"/>
      <c r="K155" s="106"/>
      <c r="L155" s="106"/>
      <c r="M155" s="70"/>
      <c r="N155" s="107"/>
      <c r="O155" s="108">
        <f>IFERROR(
  SUMPRODUCT(IFERROR(--(LEFT(G154:J154,FIND("-",G154:J154)-1)),0))
  /
  (SUMPRODUCT(IFERROR(--(LEFT(G154:J154,FIND("-",G154:J154)-1)),0)) + SUMPRODUCT(IFERROR(--(RIGHT(G154:J154,LEN(G154:J154)-FIND("-",G154:J154))),0)))
  , 0)</f>
        <v>1</v>
      </c>
      <c r="P155" s="106"/>
      <c r="Q155" s="106"/>
      <c r="R155" s="106"/>
      <c r="S155" s="99"/>
    </row>
    <row r="156" ht="18.75" customHeight="1">
      <c r="A156" s="70"/>
      <c r="B156" s="109"/>
      <c r="C156" s="110" t="str">
        <f>IFERROR(VLOOKUP(B154&amp;"-"&amp;2,'リスト'!$B:$D,2,FALSE),"")</f>
        <v>山根 崇子</v>
      </c>
      <c r="D156" s="24"/>
      <c r="E156" s="24"/>
      <c r="F156" s="111" t="str">
        <f>IFERROR(VLOOKUP(B154&amp;"-"&amp;2,'リスト'!$B:$D,3,FALSE),"")</f>
        <v>フリー</v>
      </c>
      <c r="G156" s="25"/>
      <c r="H156" s="112"/>
      <c r="I156" s="112"/>
      <c r="J156" s="113"/>
      <c r="K156" s="114"/>
      <c r="L156" s="114"/>
      <c r="M156" s="70"/>
      <c r="N156" s="115"/>
      <c r="O156" s="114"/>
      <c r="P156" s="114"/>
      <c r="Q156" s="114"/>
      <c r="R156" s="114"/>
      <c r="S156" s="99"/>
    </row>
    <row r="157" ht="18.75" customHeight="1">
      <c r="A157" s="70"/>
      <c r="B157" s="116">
        <f>B142+4</f>
        <v>42</v>
      </c>
      <c r="C157" s="89" t="str">
        <f>IFERROR(VLOOKUP(B157&amp;"-"&amp;1,'リスト'!$B:$D,2,FALSE),"")</f>
        <v>田中 久夫</v>
      </c>
      <c r="F157" s="90" t="str">
        <f>IFERROR(VLOOKUP(B157&amp;"-"&amp;1,'リスト'!$B:$D,3,FALSE),"")</f>
        <v>カプリス</v>
      </c>
      <c r="G157" s="117" t="str">
        <f>IFERROR(MID(H154, FIND("-", H154) + 1, 100) &amp; "-" &amp; LEFT(H154, FIND("-", H154) - 1), "")</f>
        <v>0-6</v>
      </c>
      <c r="H157" s="118" t="str">
        <f>IFERROR(__xludf.DUMMYFUNCTION("SPARKLINE({1,0})"),"")</f>
        <v/>
      </c>
      <c r="I157" s="92" t="s">
        <v>346</v>
      </c>
      <c r="J157" s="93" t="s">
        <v>346</v>
      </c>
      <c r="K157" s="94" t="str">
        <f>IFERROR(__xludf.DUMMYFUNCTION("SUMPRODUCT(--(REGEXMATCH(TO_TEXT(G157:J157), ""-"")), IFERROR(--(LEFT(G157:J157,FIND(""-"",G157:J157)-1)&gt;RIGHT(G157:J157,LEN(G157:J157)-FIND(""-"",G157:J157))),0)) &amp; ""-"" &amp; SUMPRODUCT(--(REGEXMATCH(TO_TEXT(G157:J157), ""-"")), IFERROR(--(LEFT(G157:J157,F"&amp;"IND(""-"",G157:J157)-1)&lt;RIGHT(G157:J157,LEN(G157:J157)-FIND(""-"",G157:J157))),0))"),"2-1")</f>
        <v>2-1</v>
      </c>
      <c r="L157" s="95" t="str">
        <f>IF(COUNTA(G154,G157,G160,G163,H154,H157,H160,H163,I154,I157,I160,I163,J154,J157,J160,J163)=16,R157,"")</f>
        <v>2位</v>
      </c>
      <c r="M157" s="70"/>
      <c r="N157" s="96">
        <f>IFERROR(VALUE(LEFT(K157,FIND("-",K157)-1)),-1)</f>
        <v>2</v>
      </c>
      <c r="O157" s="97" t="str">
        <f>SUMPRODUCT(IFERROR(--(LEFT(G157:J157,FIND("-",G157:J157)-1)),0)) &amp; "/" &amp; (SUMPRODUCT(IFERROR(--(LEFT(G157:J157,FIND("-",G157:J157)-1)),0)) + SUMPRODUCT(IFERROR(--(RIGHT(G157:J157,LEN(G157:J157)-FIND("-",G157:J157))),0)))</f>
        <v>12/18</v>
      </c>
      <c r="P157" s="95" t="str">
        <f>IF((COUNTIF($N154,N157)+COUNTIF($N157,N157)+COUNTIF($N160,N157)+COUNTIF($N163,N157))=2, IFERROR(IFS(N157=$N154,IF(VALUE(LEFT(G157,FIND("-",G157)-1))&gt;VALUE(RIGHT(G157,LEN(G157)-FIND("-",G157))),1,0), N157=$N160,IF(VALUE(LEFT(I157,FIND("-",I157)-1))&gt;VALUE(RIGHT(I157,LEN(I157)-FIND("-",I157))),1,0), N157=$N163,IF(VALUE(LEFT(J157,FIND("-",J157)-1))&gt;VALUE(RIGHT(J157,LEN(J157)-FIND("-",J157))),1,0)), ""), "")</f>
        <v/>
      </c>
      <c r="Q157" s="98">
        <f t="array" ref="Q157">N157+IF(SUMPRODUCT(--({$N154;$N157;$N160;$N163}=N157))=2,P157*0.1,IF(SUMPRODUCT(--({$N154;$N157;$N160;$N163}=N157))&gt;=3,O158*0.01,0))</f>
        <v>2</v>
      </c>
      <c r="R157" s="95" t="str">
        <f t="array" ref="R157">_xlfn.RANK.EQ(Q157, {$Q154;$Q157;$Q160;$Q163}) &amp; "位"</f>
        <v>2位</v>
      </c>
      <c r="S157" s="99"/>
    </row>
    <row r="158" ht="5.25" customHeight="1">
      <c r="A158" s="70"/>
      <c r="B158" s="100"/>
      <c r="C158" s="101"/>
      <c r="D158" s="102"/>
      <c r="E158" s="102"/>
      <c r="F158" s="103"/>
      <c r="G158" s="31"/>
      <c r="H158" s="104"/>
      <c r="I158" s="104"/>
      <c r="J158" s="105"/>
      <c r="K158" s="106"/>
      <c r="L158" s="106"/>
      <c r="M158" s="70"/>
      <c r="N158" s="107"/>
      <c r="O158" s="108">
        <f>IFERROR(
  SUMPRODUCT(IFERROR(--(LEFT(G157:J157,FIND("-",G157:J157)-1)),0))
  /
  (SUMPRODUCT(IFERROR(--(LEFT(G157:J157,FIND("-",G157:J157)-1)),0)) + SUMPRODUCT(IFERROR(--(RIGHT(G157:J157,LEN(G157:J157)-FIND("-",G157:J157))),0)))
  , 0)</f>
        <v>0.6666666667</v>
      </c>
      <c r="P158" s="106"/>
      <c r="Q158" s="106"/>
      <c r="R158" s="106"/>
      <c r="S158" s="99"/>
    </row>
    <row r="159" ht="18.75" customHeight="1">
      <c r="A159" s="70"/>
      <c r="B159" s="109"/>
      <c r="C159" s="110" t="str">
        <f>IFERROR(VLOOKUP(B157&amp;"-"&amp;2,'リスト'!$B:$D,2,FALSE),"")</f>
        <v>林 京子</v>
      </c>
      <c r="D159" s="24"/>
      <c r="E159" s="24"/>
      <c r="F159" s="111" t="str">
        <f>IFERROR(VLOOKUP(B157&amp;"-"&amp;2,'リスト'!$B:$D,3,FALSE),"")</f>
        <v>フリー</v>
      </c>
      <c r="G159" s="25"/>
      <c r="H159" s="112"/>
      <c r="I159" s="112"/>
      <c r="J159" s="113"/>
      <c r="K159" s="114"/>
      <c r="L159" s="114"/>
      <c r="M159" s="70"/>
      <c r="N159" s="115"/>
      <c r="O159" s="114"/>
      <c r="P159" s="114"/>
      <c r="Q159" s="114"/>
      <c r="R159" s="114"/>
      <c r="S159" s="99"/>
    </row>
    <row r="160" ht="18.75" customHeight="1">
      <c r="A160" s="70"/>
      <c r="B160" s="88">
        <f>B145+4</f>
        <v>43</v>
      </c>
      <c r="C160" s="89" t="str">
        <f>IFERROR(VLOOKUP(B160&amp;"-"&amp;1,'リスト'!$B:$D,2,FALSE),"")</f>
        <v>難波 隆顕</v>
      </c>
      <c r="F160" s="90" t="str">
        <f>IFERROR(VLOOKUP(B160&amp;"-"&amp;1,'リスト'!$B:$D,3,FALSE),"")</f>
        <v>プラセール</v>
      </c>
      <c r="G160" s="117" t="str">
        <f>IFERROR(MID(I154, FIND("-", I154) + 1, 100) &amp; "-" &amp; LEFT(I154, FIND("-", I154) - 1), "")</f>
        <v>0-6</v>
      </c>
      <c r="H160" s="117" t="str">
        <f>IFERROR(MID(I157, FIND("-", I157) + 1, 100) &amp; "-" &amp; LEFT(I157, FIND("-", I157) - 1), "")</f>
        <v>0-6</v>
      </c>
      <c r="I160" s="118" t="str">
        <f>IFERROR(__xludf.DUMMYFUNCTION("SPARKLINE({1,0})"),"")</f>
        <v/>
      </c>
      <c r="J160" s="93" t="s">
        <v>346</v>
      </c>
      <c r="K160" s="94" t="str">
        <f>IFERROR(__xludf.DUMMYFUNCTION("SUMPRODUCT(--(REGEXMATCH(TO_TEXT(G160:J160), ""-"")), IFERROR(--(LEFT(G160:J160,FIND(""-"",G160:J160)-1)&gt;RIGHT(G160:J160,LEN(G160:J160)-FIND(""-"",G160:J160))),0)) &amp; ""-"" &amp; SUMPRODUCT(--(REGEXMATCH(TO_TEXT(G160:J160), ""-"")), IFERROR(--(LEFT(G160:J160,F"&amp;"IND(""-"",G160:J160)-1)&lt;RIGHT(G160:J160,LEN(G160:J160)-FIND(""-"",G160:J160))),0))"),"1-2")</f>
        <v>1-2</v>
      </c>
      <c r="L160" s="95" t="str">
        <f>IF(COUNTA(G154,G157,G160,G163,H154,H157,H160,H163,I154,I157,I160,I163,J154,J157,J160,J163)=16,R160,"")</f>
        <v>3位</v>
      </c>
      <c r="M160" s="70"/>
      <c r="N160" s="96">
        <f>IFERROR(VALUE(LEFT(K160,FIND("-",K160)-1)),-1)</f>
        <v>1</v>
      </c>
      <c r="O160" s="97" t="str">
        <f>SUMPRODUCT(IFERROR(--(LEFT(G160:J160,FIND("-",G160:J160)-1)),0)) &amp; "/" &amp; (SUMPRODUCT(IFERROR(--(LEFT(G160:J160,FIND("-",G160:J160)-1)),0)) + SUMPRODUCT(IFERROR(--(RIGHT(G160:J160,LEN(G160:J160)-FIND("-",G160:J160))),0)))</f>
        <v>6/18</v>
      </c>
      <c r="P160" s="95" t="str">
        <f>IF((COUNTIF($N154,N160)+COUNTIF($N157,N160)+COUNTIF($N160,N160)+COUNTIF($N163,N160))=2, IFERROR(IFS(N160=$N154,IF(VALUE(LEFT(G160,FIND("-",G160)-1))&gt;VALUE(RIGHT(G160,LEN(G160)-FIND("-",G160))),1,0), N160=$N157,IF(VALUE(LEFT(H160,FIND("-",H160)-1))&gt;VALUE(RIGHT(H160,LEN(H160)-FIND("-",H160))),1,0), N160=$N163,IF(VALUE(LEFT(J160,FIND("-",J160)-1))&gt;VALUE(RIGHT(J160,LEN(J160)-FIND("-",J160))),1,0)), ""), "")</f>
        <v/>
      </c>
      <c r="Q160" s="98">
        <f t="array" ref="Q160">N160+IF(SUMPRODUCT(--({$N154;$N157;$N160;$N163}=N160))=2,P160*0.1,IF(SUMPRODUCT(--({$N154;$N157;$N160;$N163}=N160))&gt;=3,O161*0.01,0))</f>
        <v>1</v>
      </c>
      <c r="R160" s="95" t="str">
        <f t="array" ref="R160">_xlfn.RANK.EQ(Q160, {$Q154;$Q157;$Q160;$Q163}) &amp; "位"</f>
        <v>3位</v>
      </c>
      <c r="S160" s="99"/>
    </row>
    <row r="161" ht="5.25" customHeight="1">
      <c r="A161" s="70"/>
      <c r="B161" s="100"/>
      <c r="C161" s="101"/>
      <c r="D161" s="102"/>
      <c r="E161" s="102"/>
      <c r="F161" s="103"/>
      <c r="G161" s="31"/>
      <c r="H161" s="31"/>
      <c r="I161" s="104"/>
      <c r="J161" s="105"/>
      <c r="K161" s="106"/>
      <c r="L161" s="106"/>
      <c r="M161" s="70"/>
      <c r="N161" s="107"/>
      <c r="O161" s="108">
        <f>IFERROR(
  SUMPRODUCT(IFERROR(--(LEFT(G160:J160,FIND("-",G160:J160)-1)),0))
  /
  (SUMPRODUCT(IFERROR(--(LEFT(G160:J160,FIND("-",G160:J160)-1)),0)) + SUMPRODUCT(IFERROR(--(RIGHT(G160:J160,LEN(G160:J160)-FIND("-",G160:J160))),0)))
  , 0)</f>
        <v>0.3333333333</v>
      </c>
      <c r="P161" s="106"/>
      <c r="Q161" s="106"/>
      <c r="R161" s="106"/>
      <c r="S161" s="99"/>
    </row>
    <row r="162" ht="18.75" customHeight="1">
      <c r="A162" s="70"/>
      <c r="B162" s="109"/>
      <c r="C162" s="110" t="str">
        <f>IFERROR(VLOOKUP(B160&amp;"-"&amp;2,'リスト'!$B:$D,2,FALSE),"")</f>
        <v>森 順子</v>
      </c>
      <c r="D162" s="24"/>
      <c r="E162" s="24"/>
      <c r="F162" s="111" t="str">
        <f>IFERROR(VLOOKUP(B160&amp;"-"&amp;2,'リスト'!$B:$D,3,FALSE),"")</f>
        <v>フリー</v>
      </c>
      <c r="G162" s="25"/>
      <c r="H162" s="25"/>
      <c r="I162" s="112"/>
      <c r="J162" s="113"/>
      <c r="K162" s="114"/>
      <c r="L162" s="114"/>
      <c r="M162" s="70"/>
      <c r="N162" s="115"/>
      <c r="O162" s="114"/>
      <c r="P162" s="114"/>
      <c r="Q162" s="114"/>
      <c r="R162" s="114"/>
      <c r="S162" s="99"/>
    </row>
    <row r="163" ht="18.75" customHeight="1">
      <c r="A163" s="70"/>
      <c r="B163" s="116">
        <f>B148+4</f>
        <v>44</v>
      </c>
      <c r="C163" s="89" t="str">
        <f>IFERROR(VLOOKUP(B163&amp;"-"&amp;1,'リスト'!$B:$D,2,FALSE),"")</f>
        <v>檜垣 直斗</v>
      </c>
      <c r="F163" s="90" t="str">
        <f>IFERROR(VLOOKUP(B163&amp;"-"&amp;1,'リスト'!$B:$D,3,FALSE),"")</f>
        <v>フリー</v>
      </c>
      <c r="G163" s="119" t="str">
        <f>IFERROR(MID(J154, FIND("-", J154) + 1, 100) &amp; "-" &amp; LEFT(J154, FIND("-", J154) - 1), "")</f>
        <v>0-6</v>
      </c>
      <c r="H163" s="117" t="str">
        <f>IFERROR(MID(J157, FIND("-", J157) + 1, 100) &amp; "-" &amp; LEFT(J157, FIND("-", J157) - 1), "")</f>
        <v>0-6</v>
      </c>
      <c r="I163" s="117" t="str">
        <f>IFERROR(MID(J160, FIND("-", J160) + 1, 100) &amp; "-" &amp; LEFT(J160, FIND("-", J160) - 1), "")</f>
        <v>0-6</v>
      </c>
      <c r="J163" s="131" t="str">
        <f>IFERROR(__xludf.DUMMYFUNCTION("SPARKLINE({1,0})"),"")</f>
        <v/>
      </c>
      <c r="K163" s="121" t="str">
        <f>IFERROR(__xludf.DUMMYFUNCTION("SUMPRODUCT(--(REGEXMATCH(TO_TEXT(G163:J163), ""-"")), IFERROR(--(LEFT(G163:J163,FIND(""-"",G163:J163)-1)&gt;RIGHT(G163:J163,LEN(G163:J163)-FIND(""-"",G163:J163))),0)) &amp; ""-"" &amp; SUMPRODUCT(--(REGEXMATCH(TO_TEXT(G163:J163), ""-"")), IFERROR(--(LEFT(G163:J163,F"&amp;"IND(""-"",G163:J163)-1)&lt;RIGHT(G163:J163,LEN(G163:J163)-FIND(""-"",G163:J163))),0))"),"0-3")</f>
        <v>0-3</v>
      </c>
      <c r="L163" s="95" t="str">
        <f>IF(COUNTA(G154,G157,G160,G163,H154,H157,H160,H163,I154,I157,I160,I163,J154,J157,J160,J163)=16,R163,"")</f>
        <v>4位</v>
      </c>
      <c r="M163" s="70"/>
      <c r="N163" s="96">
        <f>IFERROR(VALUE(LEFT(K163,FIND("-",K163)-1)),-1)</f>
        <v>0</v>
      </c>
      <c r="O163" s="97" t="str">
        <f>SUMPRODUCT(IFERROR(--(LEFT(G163:J163,FIND("-",G163:J163)-1)),0)) &amp; "/" &amp; (SUMPRODUCT(IFERROR(--(LEFT(G163:J163,FIND("-",G163:J163)-1)),0)) + SUMPRODUCT(IFERROR(--(RIGHT(G163:J163,LEN(G163:J163)-FIND("-",G163:J163))),0)))</f>
        <v>0/18</v>
      </c>
      <c r="P163" s="95" t="str">
        <f>IF((COUNTIF($N154,N163)+COUNTIF($N157,N163)+COUNTIF($N160,N163)+COUNTIF($N163,N163))=2, IFERROR(IFS(N163=$N154,IF(VALUE(LEFT(G163,FIND("-",G163)-1))&gt;VALUE(RIGHT(G163,LEN(G163)-FIND("-",G163))),1,0), N163=$N157,IF(VALUE(LEFT(H163,FIND("-",H163)-1))&gt;VALUE(RIGHT(H163,LEN(H163)-FIND("-",H163))),1,0), N163=$N160,IF(VALUE(LEFT(I163,FIND("-",I163)-1))&gt;VALUE(RIGHT(I163,LEN(I163)-FIND("-",I163))),1,0)), ""), "")</f>
        <v/>
      </c>
      <c r="Q163" s="98">
        <f t="array" ref="Q163">N163+IF(SUMPRODUCT(--({$N154;$N157;$N160;$N163}=N163))=2,P163*0.1,IF(SUMPRODUCT(--({$N154;$N157;$N160;$N163}=N163))&gt;=3,O164*0.01,0))</f>
        <v>0</v>
      </c>
      <c r="R163" s="95" t="str">
        <f t="array" ref="R163">_xlfn.RANK.EQ(Q163, {$Q154;$Q157;$Q160;$Q163}) &amp; "位"</f>
        <v>4位</v>
      </c>
      <c r="S163" s="99"/>
    </row>
    <row r="164" ht="5.25" customHeight="1">
      <c r="A164" s="70"/>
      <c r="B164" s="100"/>
      <c r="C164" s="101"/>
      <c r="D164" s="102"/>
      <c r="E164" s="102"/>
      <c r="F164" s="103"/>
      <c r="G164" s="31"/>
      <c r="H164" s="31"/>
      <c r="I164" s="31"/>
      <c r="J164" s="105"/>
      <c r="K164" s="107"/>
      <c r="L164" s="106"/>
      <c r="M164" s="70"/>
      <c r="N164" s="107"/>
      <c r="O164" s="108">
        <f>IFERROR(
  SUMPRODUCT(IFERROR(--(LEFT(G163:J163,FIND("-",G163:J163)-1)),0))
  /
  (SUMPRODUCT(IFERROR(--(LEFT(G163:J163,FIND("-",G163:J163)-1)),0)) + SUMPRODUCT(IFERROR(--(RIGHT(G163:J163,LEN(G163:J163)-FIND("-",G163:J163))),0)))
  , 0)</f>
        <v>0</v>
      </c>
      <c r="P164" s="106"/>
      <c r="Q164" s="106"/>
      <c r="R164" s="106"/>
      <c r="S164" s="99"/>
    </row>
    <row r="165" ht="19.5" customHeight="1">
      <c r="A165" s="70"/>
      <c r="B165" s="122"/>
      <c r="C165" s="123" t="str">
        <f>IFERROR(VLOOKUP(B163&amp;"-"&amp;2,'リスト'!$B:$D,2,FALSE),"")</f>
        <v>橋本 舞子</v>
      </c>
      <c r="D165" s="124"/>
      <c r="E165" s="124"/>
      <c r="F165" s="155" t="str">
        <f>IFERROR(VLOOKUP(B163&amp;"-"&amp;2,'リスト'!$B:$D,3,FALSE),"")</f>
        <v>スポーツショップハート</v>
      </c>
      <c r="G165" s="126"/>
      <c r="H165" s="126"/>
      <c r="I165" s="126"/>
      <c r="J165" s="132"/>
      <c r="K165" s="128"/>
      <c r="L165" s="129"/>
      <c r="M165" s="70"/>
      <c r="N165" s="128"/>
      <c r="O165" s="129"/>
      <c r="P165" s="129"/>
      <c r="Q165" s="129"/>
      <c r="R165" s="129"/>
      <c r="S165" s="99"/>
    </row>
    <row r="166">
      <c r="A166" s="70"/>
      <c r="B166" s="70"/>
      <c r="C166" s="70"/>
      <c r="D166" s="70"/>
      <c r="E166" s="70"/>
      <c r="F166" s="72"/>
      <c r="G166" s="73"/>
      <c r="H166" s="73"/>
      <c r="I166" s="73"/>
      <c r="J166" s="73"/>
      <c r="K166" s="70"/>
      <c r="L166" s="70"/>
      <c r="M166" s="70"/>
      <c r="N166" s="70"/>
      <c r="O166" s="70"/>
      <c r="P166" s="70"/>
      <c r="Q166" s="70"/>
      <c r="R166" s="70"/>
      <c r="S166" s="70"/>
    </row>
  </sheetData>
  <mergeCells count="649">
    <mergeCell ref="K4:K6"/>
    <mergeCell ref="L4:L6"/>
    <mergeCell ref="N4:N6"/>
    <mergeCell ref="P4:P6"/>
    <mergeCell ref="Q4:Q6"/>
    <mergeCell ref="R4:R6"/>
    <mergeCell ref="O5:O6"/>
    <mergeCell ref="B2:C2"/>
    <mergeCell ref="I2:L2"/>
    <mergeCell ref="B3:F3"/>
    <mergeCell ref="C4:E4"/>
    <mergeCell ref="G4:G6"/>
    <mergeCell ref="H4:H6"/>
    <mergeCell ref="C6:E6"/>
    <mergeCell ref="C7:E7"/>
    <mergeCell ref="L7:L9"/>
    <mergeCell ref="N7:N9"/>
    <mergeCell ref="P7:P9"/>
    <mergeCell ref="Q7:Q9"/>
    <mergeCell ref="R7:R9"/>
    <mergeCell ref="O8:O9"/>
    <mergeCell ref="I4:I6"/>
    <mergeCell ref="J4:J6"/>
    <mergeCell ref="G7:G9"/>
    <mergeCell ref="H7:H9"/>
    <mergeCell ref="I7:I9"/>
    <mergeCell ref="J7:J9"/>
    <mergeCell ref="K7:K9"/>
    <mergeCell ref="P10:P12"/>
    <mergeCell ref="Q10:Q12"/>
    <mergeCell ref="R10:R12"/>
    <mergeCell ref="Q13:Q15"/>
    <mergeCell ref="R13:R15"/>
    <mergeCell ref="G10:G12"/>
    <mergeCell ref="H10:H12"/>
    <mergeCell ref="I10:I12"/>
    <mergeCell ref="J10:J12"/>
    <mergeCell ref="K10:K12"/>
    <mergeCell ref="L10:L12"/>
    <mergeCell ref="N10:N12"/>
    <mergeCell ref="O11:O12"/>
    <mergeCell ref="B4:B6"/>
    <mergeCell ref="B7:B9"/>
    <mergeCell ref="C9:E9"/>
    <mergeCell ref="B10:B12"/>
    <mergeCell ref="C10:E10"/>
    <mergeCell ref="C12:E12"/>
    <mergeCell ref="B13:B15"/>
    <mergeCell ref="N13:N15"/>
    <mergeCell ref="P13:P15"/>
    <mergeCell ref="O14:O15"/>
    <mergeCell ref="C13:E13"/>
    <mergeCell ref="G13:G15"/>
    <mergeCell ref="H13:H15"/>
    <mergeCell ref="I13:I15"/>
    <mergeCell ref="J13:J15"/>
    <mergeCell ref="K13:K15"/>
    <mergeCell ref="L13:L15"/>
    <mergeCell ref="I17:L17"/>
    <mergeCell ref="I19:I21"/>
    <mergeCell ref="J19:J21"/>
    <mergeCell ref="K19:K21"/>
    <mergeCell ref="L19:L21"/>
    <mergeCell ref="N19:N21"/>
    <mergeCell ref="Q19:Q21"/>
    <mergeCell ref="R19:R21"/>
    <mergeCell ref="B19:B21"/>
    <mergeCell ref="B22:B24"/>
    <mergeCell ref="B25:B27"/>
    <mergeCell ref="G19:G21"/>
    <mergeCell ref="G22:G24"/>
    <mergeCell ref="H22:H24"/>
    <mergeCell ref="I22:I24"/>
    <mergeCell ref="J22:J24"/>
    <mergeCell ref="K22:K24"/>
    <mergeCell ref="L22:L24"/>
    <mergeCell ref="N22:N24"/>
    <mergeCell ref="C15:E15"/>
    <mergeCell ref="B17:C17"/>
    <mergeCell ref="B18:F18"/>
    <mergeCell ref="C19:E19"/>
    <mergeCell ref="H19:H21"/>
    <mergeCell ref="C21:E21"/>
    <mergeCell ref="C22:E22"/>
    <mergeCell ref="Q25:Q27"/>
    <mergeCell ref="R25:R27"/>
    <mergeCell ref="P19:P21"/>
    <mergeCell ref="O20:O21"/>
    <mergeCell ref="P22:P24"/>
    <mergeCell ref="Q22:Q24"/>
    <mergeCell ref="R22:R24"/>
    <mergeCell ref="O23:O24"/>
    <mergeCell ref="P25:P27"/>
    <mergeCell ref="O26:O27"/>
    <mergeCell ref="L25:L27"/>
    <mergeCell ref="N25:N27"/>
    <mergeCell ref="C24:E24"/>
    <mergeCell ref="C25:E25"/>
    <mergeCell ref="G25:G27"/>
    <mergeCell ref="H25:H27"/>
    <mergeCell ref="I25:I27"/>
    <mergeCell ref="J25:J27"/>
    <mergeCell ref="K25:K27"/>
    <mergeCell ref="K28:K30"/>
    <mergeCell ref="L28:L30"/>
    <mergeCell ref="N28:N30"/>
    <mergeCell ref="P28:P30"/>
    <mergeCell ref="Q28:Q30"/>
    <mergeCell ref="R28:R30"/>
    <mergeCell ref="O29:O30"/>
    <mergeCell ref="I32:L32"/>
    <mergeCell ref="P34:P36"/>
    <mergeCell ref="O35:O36"/>
    <mergeCell ref="P37:P39"/>
    <mergeCell ref="Q37:Q39"/>
    <mergeCell ref="R37:R39"/>
    <mergeCell ref="O38:O39"/>
    <mergeCell ref="I34:I36"/>
    <mergeCell ref="J34:J36"/>
    <mergeCell ref="K34:K36"/>
    <mergeCell ref="L34:L36"/>
    <mergeCell ref="N34:N36"/>
    <mergeCell ref="Q34:Q36"/>
    <mergeCell ref="R34:R36"/>
    <mergeCell ref="B34:B36"/>
    <mergeCell ref="B37:B39"/>
    <mergeCell ref="C39:E39"/>
    <mergeCell ref="G34:G36"/>
    <mergeCell ref="G37:G39"/>
    <mergeCell ref="H37:H39"/>
    <mergeCell ref="I37:I39"/>
    <mergeCell ref="J37:J39"/>
    <mergeCell ref="K37:K39"/>
    <mergeCell ref="L37:L39"/>
    <mergeCell ref="N37:N39"/>
    <mergeCell ref="Q49:Q51"/>
    <mergeCell ref="R49:R51"/>
    <mergeCell ref="H49:H51"/>
    <mergeCell ref="I49:I51"/>
    <mergeCell ref="J49:J51"/>
    <mergeCell ref="K49:K51"/>
    <mergeCell ref="L49:L51"/>
    <mergeCell ref="N49:N51"/>
    <mergeCell ref="P49:P51"/>
    <mergeCell ref="O50:O51"/>
    <mergeCell ref="C27:E27"/>
    <mergeCell ref="C28:E28"/>
    <mergeCell ref="G28:G30"/>
    <mergeCell ref="H28:H30"/>
    <mergeCell ref="I28:I30"/>
    <mergeCell ref="J28:J30"/>
    <mergeCell ref="C30:E30"/>
    <mergeCell ref="B28:B30"/>
    <mergeCell ref="B32:C32"/>
    <mergeCell ref="B33:F33"/>
    <mergeCell ref="C34:E34"/>
    <mergeCell ref="H34:H36"/>
    <mergeCell ref="C36:E36"/>
    <mergeCell ref="C37:E37"/>
    <mergeCell ref="L40:L42"/>
    <mergeCell ref="N40:N42"/>
    <mergeCell ref="P40:P42"/>
    <mergeCell ref="Q40:Q42"/>
    <mergeCell ref="R40:R42"/>
    <mergeCell ref="O41:O42"/>
    <mergeCell ref="C40:E40"/>
    <mergeCell ref="H40:H42"/>
    <mergeCell ref="I40:I42"/>
    <mergeCell ref="J40:J42"/>
    <mergeCell ref="K40:K42"/>
    <mergeCell ref="C42:E42"/>
    <mergeCell ref="C43:E43"/>
    <mergeCell ref="C45:E45"/>
    <mergeCell ref="N43:N45"/>
    <mergeCell ref="P43:P45"/>
    <mergeCell ref="Q43:Q45"/>
    <mergeCell ref="R43:R45"/>
    <mergeCell ref="O44:O45"/>
    <mergeCell ref="G40:G42"/>
    <mergeCell ref="G43:G45"/>
    <mergeCell ref="H43:H45"/>
    <mergeCell ref="I43:I45"/>
    <mergeCell ref="J43:J45"/>
    <mergeCell ref="K43:K45"/>
    <mergeCell ref="L43:L45"/>
    <mergeCell ref="I47:L47"/>
    <mergeCell ref="N52:N54"/>
    <mergeCell ref="P52:P54"/>
    <mergeCell ref="Q52:Q54"/>
    <mergeCell ref="R52:R54"/>
    <mergeCell ref="O53:O54"/>
    <mergeCell ref="G49:G51"/>
    <mergeCell ref="G52:G54"/>
    <mergeCell ref="H52:H54"/>
    <mergeCell ref="I52:I54"/>
    <mergeCell ref="J52:J54"/>
    <mergeCell ref="K52:K54"/>
    <mergeCell ref="L52:L54"/>
    <mergeCell ref="B49:B51"/>
    <mergeCell ref="B52:B54"/>
    <mergeCell ref="B55:B57"/>
    <mergeCell ref="B58:B60"/>
    <mergeCell ref="B62:C62"/>
    <mergeCell ref="B64:B66"/>
    <mergeCell ref="B40:B42"/>
    <mergeCell ref="B43:B45"/>
    <mergeCell ref="B47:C47"/>
    <mergeCell ref="B48:F48"/>
    <mergeCell ref="C49:E49"/>
    <mergeCell ref="C51:E51"/>
    <mergeCell ref="C52:E52"/>
    <mergeCell ref="L55:L57"/>
    <mergeCell ref="N55:N57"/>
    <mergeCell ref="P55:P57"/>
    <mergeCell ref="Q55:Q57"/>
    <mergeCell ref="R55:R57"/>
    <mergeCell ref="O56:O57"/>
    <mergeCell ref="C54:E54"/>
    <mergeCell ref="C55:E55"/>
    <mergeCell ref="G55:G57"/>
    <mergeCell ref="H55:H57"/>
    <mergeCell ref="I55:I57"/>
    <mergeCell ref="J55:J57"/>
    <mergeCell ref="K55:K57"/>
    <mergeCell ref="K58:K60"/>
    <mergeCell ref="I62:L62"/>
    <mergeCell ref="C57:E57"/>
    <mergeCell ref="C58:E58"/>
    <mergeCell ref="G58:G60"/>
    <mergeCell ref="H58:H60"/>
    <mergeCell ref="I58:I60"/>
    <mergeCell ref="J58:J60"/>
    <mergeCell ref="C60:E60"/>
    <mergeCell ref="Q64:Q66"/>
    <mergeCell ref="R64:R66"/>
    <mergeCell ref="L58:L60"/>
    <mergeCell ref="N58:N60"/>
    <mergeCell ref="P58:P60"/>
    <mergeCell ref="Q58:Q60"/>
    <mergeCell ref="R58:R60"/>
    <mergeCell ref="O59:O60"/>
    <mergeCell ref="P64:P66"/>
    <mergeCell ref="O65:O66"/>
    <mergeCell ref="H79:H81"/>
    <mergeCell ref="I79:I81"/>
    <mergeCell ref="C79:E79"/>
    <mergeCell ref="C81:E81"/>
    <mergeCell ref="C82:E82"/>
    <mergeCell ref="H82:H84"/>
    <mergeCell ref="I82:I84"/>
    <mergeCell ref="C84:E84"/>
    <mergeCell ref="C85:E85"/>
    <mergeCell ref="K103:K105"/>
    <mergeCell ref="I107:L107"/>
    <mergeCell ref="B108:F108"/>
    <mergeCell ref="G109:G111"/>
    <mergeCell ref="H109:H111"/>
    <mergeCell ref="I109:I111"/>
    <mergeCell ref="L109:L111"/>
    <mergeCell ref="J112:J114"/>
    <mergeCell ref="K112:K114"/>
    <mergeCell ref="L112:L114"/>
    <mergeCell ref="N112:N114"/>
    <mergeCell ref="P112:P114"/>
    <mergeCell ref="Q112:Q114"/>
    <mergeCell ref="R112:R114"/>
    <mergeCell ref="O113:O114"/>
    <mergeCell ref="B112:B114"/>
    <mergeCell ref="B115:B117"/>
    <mergeCell ref="B118:B120"/>
    <mergeCell ref="B122:C122"/>
    <mergeCell ref="B123:F123"/>
    <mergeCell ref="N115:N117"/>
    <mergeCell ref="P115:P117"/>
    <mergeCell ref="Q115:Q117"/>
    <mergeCell ref="R115:R117"/>
    <mergeCell ref="O116:O117"/>
    <mergeCell ref="G112:G114"/>
    <mergeCell ref="G115:G117"/>
    <mergeCell ref="H115:H117"/>
    <mergeCell ref="I115:I117"/>
    <mergeCell ref="J115:J117"/>
    <mergeCell ref="K115:K117"/>
    <mergeCell ref="L115:L117"/>
    <mergeCell ref="C109:E109"/>
    <mergeCell ref="C111:E111"/>
    <mergeCell ref="C112:E112"/>
    <mergeCell ref="H112:H114"/>
    <mergeCell ref="I112:I114"/>
    <mergeCell ref="C114:E114"/>
    <mergeCell ref="C115:E115"/>
    <mergeCell ref="L118:L120"/>
    <mergeCell ref="N118:N120"/>
    <mergeCell ref="P118:P120"/>
    <mergeCell ref="Q118:Q120"/>
    <mergeCell ref="R118:R120"/>
    <mergeCell ref="O119:O120"/>
    <mergeCell ref="K118:K120"/>
    <mergeCell ref="I122:L122"/>
    <mergeCell ref="C117:E117"/>
    <mergeCell ref="C118:E118"/>
    <mergeCell ref="G118:G120"/>
    <mergeCell ref="H118:H120"/>
    <mergeCell ref="I118:I120"/>
    <mergeCell ref="J118:J120"/>
    <mergeCell ref="C120:E120"/>
    <mergeCell ref="L124:L126"/>
    <mergeCell ref="N124:N126"/>
    <mergeCell ref="P124:P126"/>
    <mergeCell ref="Q124:Q126"/>
    <mergeCell ref="R124:R126"/>
    <mergeCell ref="O125:O126"/>
    <mergeCell ref="B124:B126"/>
    <mergeCell ref="B127:B129"/>
    <mergeCell ref="B130:B132"/>
    <mergeCell ref="C132:E132"/>
    <mergeCell ref="G124:G126"/>
    <mergeCell ref="G127:G129"/>
    <mergeCell ref="H127:H129"/>
    <mergeCell ref="I127:I129"/>
    <mergeCell ref="J127:J129"/>
    <mergeCell ref="K127:K129"/>
    <mergeCell ref="L127:L129"/>
    <mergeCell ref="C124:E124"/>
    <mergeCell ref="H124:H126"/>
    <mergeCell ref="I124:I126"/>
    <mergeCell ref="J124:J126"/>
    <mergeCell ref="K124:K126"/>
    <mergeCell ref="C126:E126"/>
    <mergeCell ref="C127:E127"/>
    <mergeCell ref="P130:P132"/>
    <mergeCell ref="O131:O132"/>
    <mergeCell ref="N127:N129"/>
    <mergeCell ref="P127:P129"/>
    <mergeCell ref="Q127:Q129"/>
    <mergeCell ref="R127:R129"/>
    <mergeCell ref="O128:O129"/>
    <mergeCell ref="Q130:Q132"/>
    <mergeCell ref="R130:R132"/>
    <mergeCell ref="L130:L132"/>
    <mergeCell ref="N130:N132"/>
    <mergeCell ref="C129:E129"/>
    <mergeCell ref="C130:E130"/>
    <mergeCell ref="G130:G132"/>
    <mergeCell ref="H130:H132"/>
    <mergeCell ref="I130:I132"/>
    <mergeCell ref="J130:J132"/>
    <mergeCell ref="K130:K132"/>
    <mergeCell ref="L133:L135"/>
    <mergeCell ref="N133:N135"/>
    <mergeCell ref="P133:P135"/>
    <mergeCell ref="Q133:Q135"/>
    <mergeCell ref="R133:R135"/>
    <mergeCell ref="O134:O135"/>
    <mergeCell ref="B133:B135"/>
    <mergeCell ref="B137:C137"/>
    <mergeCell ref="B139:B141"/>
    <mergeCell ref="B142:B144"/>
    <mergeCell ref="C133:E133"/>
    <mergeCell ref="G133:G135"/>
    <mergeCell ref="H133:H135"/>
    <mergeCell ref="I133:I135"/>
    <mergeCell ref="J133:J135"/>
    <mergeCell ref="K133:K135"/>
    <mergeCell ref="I137:L137"/>
    <mergeCell ref="K139:K141"/>
    <mergeCell ref="L139:L141"/>
    <mergeCell ref="N139:N141"/>
    <mergeCell ref="P139:P141"/>
    <mergeCell ref="Q139:Q141"/>
    <mergeCell ref="R139:R141"/>
    <mergeCell ref="O140:O141"/>
    <mergeCell ref="L142:L144"/>
    <mergeCell ref="N142:N144"/>
    <mergeCell ref="P142:P144"/>
    <mergeCell ref="Q142:Q144"/>
    <mergeCell ref="R142:R144"/>
    <mergeCell ref="O143:O144"/>
    <mergeCell ref="C135:E135"/>
    <mergeCell ref="B138:F138"/>
    <mergeCell ref="C139:E139"/>
    <mergeCell ref="G139:G141"/>
    <mergeCell ref="H139:H141"/>
    <mergeCell ref="I139:I141"/>
    <mergeCell ref="J139:J141"/>
    <mergeCell ref="C141:E141"/>
    <mergeCell ref="C142:E142"/>
    <mergeCell ref="G142:G144"/>
    <mergeCell ref="H142:H144"/>
    <mergeCell ref="I142:I144"/>
    <mergeCell ref="J142:J144"/>
    <mergeCell ref="K142:K144"/>
    <mergeCell ref="K145:K147"/>
    <mergeCell ref="L145:L147"/>
    <mergeCell ref="N145:N147"/>
    <mergeCell ref="P145:P147"/>
    <mergeCell ref="Q145:Q147"/>
    <mergeCell ref="R145:R147"/>
    <mergeCell ref="O146:O147"/>
    <mergeCell ref="C144:E144"/>
    <mergeCell ref="C145:E145"/>
    <mergeCell ref="H145:H147"/>
    <mergeCell ref="I145:I147"/>
    <mergeCell ref="J145:J147"/>
    <mergeCell ref="C147:E147"/>
    <mergeCell ref="C148:E148"/>
    <mergeCell ref="C150:E150"/>
    <mergeCell ref="N148:N150"/>
    <mergeCell ref="P148:P150"/>
    <mergeCell ref="Q148:Q150"/>
    <mergeCell ref="R148:R150"/>
    <mergeCell ref="O149:O150"/>
    <mergeCell ref="O155:O156"/>
    <mergeCell ref="G145:G147"/>
    <mergeCell ref="G148:G150"/>
    <mergeCell ref="H148:H150"/>
    <mergeCell ref="I148:I150"/>
    <mergeCell ref="J148:J150"/>
    <mergeCell ref="K148:K150"/>
    <mergeCell ref="L148:L150"/>
    <mergeCell ref="I152:L152"/>
    <mergeCell ref="B145:B147"/>
    <mergeCell ref="B148:B150"/>
    <mergeCell ref="B152:C152"/>
    <mergeCell ref="B153:F153"/>
    <mergeCell ref="B154:B156"/>
    <mergeCell ref="C154:E154"/>
    <mergeCell ref="G154:G156"/>
    <mergeCell ref="C156:E156"/>
    <mergeCell ref="L64:L66"/>
    <mergeCell ref="N64:N66"/>
    <mergeCell ref="B63:F63"/>
    <mergeCell ref="C64:E64"/>
    <mergeCell ref="G64:G66"/>
    <mergeCell ref="H64:H66"/>
    <mergeCell ref="I64:I66"/>
    <mergeCell ref="J64:J66"/>
    <mergeCell ref="K64:K66"/>
    <mergeCell ref="K67:K69"/>
    <mergeCell ref="L67:L69"/>
    <mergeCell ref="N67:N69"/>
    <mergeCell ref="P67:P69"/>
    <mergeCell ref="Q67:Q69"/>
    <mergeCell ref="R67:R69"/>
    <mergeCell ref="O68:O69"/>
    <mergeCell ref="B67:B69"/>
    <mergeCell ref="B70:B72"/>
    <mergeCell ref="B73:B75"/>
    <mergeCell ref="G67:G69"/>
    <mergeCell ref="G70:G72"/>
    <mergeCell ref="H70:H72"/>
    <mergeCell ref="I70:I72"/>
    <mergeCell ref="J70:J72"/>
    <mergeCell ref="K70:K72"/>
    <mergeCell ref="L70:L72"/>
    <mergeCell ref="C66:E66"/>
    <mergeCell ref="C67:E67"/>
    <mergeCell ref="H67:H69"/>
    <mergeCell ref="I67:I69"/>
    <mergeCell ref="J67:J69"/>
    <mergeCell ref="C69:E69"/>
    <mergeCell ref="C70:E70"/>
    <mergeCell ref="P73:P75"/>
    <mergeCell ref="O74:O75"/>
    <mergeCell ref="N70:N72"/>
    <mergeCell ref="P70:P72"/>
    <mergeCell ref="Q70:Q72"/>
    <mergeCell ref="R70:R72"/>
    <mergeCell ref="O71:O72"/>
    <mergeCell ref="Q73:Q75"/>
    <mergeCell ref="R73:R75"/>
    <mergeCell ref="J82:J84"/>
    <mergeCell ref="K82:K84"/>
    <mergeCell ref="L82:L84"/>
    <mergeCell ref="N82:N84"/>
    <mergeCell ref="P82:P84"/>
    <mergeCell ref="Q82:Q84"/>
    <mergeCell ref="R82:R84"/>
    <mergeCell ref="O83:O84"/>
    <mergeCell ref="G82:G84"/>
    <mergeCell ref="G85:G87"/>
    <mergeCell ref="H85:H87"/>
    <mergeCell ref="I85:I87"/>
    <mergeCell ref="J85:J87"/>
    <mergeCell ref="K85:K87"/>
    <mergeCell ref="L85:L87"/>
    <mergeCell ref="L88:L90"/>
    <mergeCell ref="I92:L92"/>
    <mergeCell ref="G88:G90"/>
    <mergeCell ref="H88:H90"/>
    <mergeCell ref="I88:I90"/>
    <mergeCell ref="J88:J90"/>
    <mergeCell ref="K88:K90"/>
    <mergeCell ref="N88:N90"/>
    <mergeCell ref="O89:O90"/>
    <mergeCell ref="L73:L75"/>
    <mergeCell ref="N73:N75"/>
    <mergeCell ref="C72:E72"/>
    <mergeCell ref="C73:E73"/>
    <mergeCell ref="G73:G75"/>
    <mergeCell ref="H73:H75"/>
    <mergeCell ref="I73:I75"/>
    <mergeCell ref="J73:J75"/>
    <mergeCell ref="K73:K75"/>
    <mergeCell ref="J79:J81"/>
    <mergeCell ref="K79:K81"/>
    <mergeCell ref="N79:N81"/>
    <mergeCell ref="P79:P81"/>
    <mergeCell ref="Q79:Q81"/>
    <mergeCell ref="R79:R81"/>
    <mergeCell ref="O80:O81"/>
    <mergeCell ref="C75:E75"/>
    <mergeCell ref="B77:C77"/>
    <mergeCell ref="I77:L77"/>
    <mergeCell ref="B78:F78"/>
    <mergeCell ref="B79:B81"/>
    <mergeCell ref="G79:G81"/>
    <mergeCell ref="L79:L81"/>
    <mergeCell ref="N85:N87"/>
    <mergeCell ref="P85:P87"/>
    <mergeCell ref="Q85:Q87"/>
    <mergeCell ref="R85:R87"/>
    <mergeCell ref="O86:O87"/>
    <mergeCell ref="P88:P90"/>
    <mergeCell ref="Q88:Q90"/>
    <mergeCell ref="R88:R90"/>
    <mergeCell ref="N94:N96"/>
    <mergeCell ref="P94:P96"/>
    <mergeCell ref="Q94:Q96"/>
    <mergeCell ref="R94:R96"/>
    <mergeCell ref="O95:O96"/>
    <mergeCell ref="C94:E94"/>
    <mergeCell ref="G94:G96"/>
    <mergeCell ref="H94:H96"/>
    <mergeCell ref="I94:I96"/>
    <mergeCell ref="J94:J96"/>
    <mergeCell ref="K94:K96"/>
    <mergeCell ref="L94:L96"/>
    <mergeCell ref="C99:E99"/>
    <mergeCell ref="C100:E100"/>
    <mergeCell ref="G100:G102"/>
    <mergeCell ref="H100:H102"/>
    <mergeCell ref="I100:I102"/>
    <mergeCell ref="J100:J102"/>
    <mergeCell ref="K100:K102"/>
    <mergeCell ref="C102:E102"/>
    <mergeCell ref="C103:E103"/>
    <mergeCell ref="G103:G105"/>
    <mergeCell ref="H103:H105"/>
    <mergeCell ref="I103:I105"/>
    <mergeCell ref="J103:J105"/>
    <mergeCell ref="C105:E105"/>
    <mergeCell ref="B88:B90"/>
    <mergeCell ref="B94:B96"/>
    <mergeCell ref="B97:B99"/>
    <mergeCell ref="B100:B102"/>
    <mergeCell ref="B103:B105"/>
    <mergeCell ref="B107:C107"/>
    <mergeCell ref="B109:B111"/>
    <mergeCell ref="B82:B84"/>
    <mergeCell ref="B85:B87"/>
    <mergeCell ref="C87:E87"/>
    <mergeCell ref="C88:E88"/>
    <mergeCell ref="C90:E90"/>
    <mergeCell ref="B92:C92"/>
    <mergeCell ref="B93:F93"/>
    <mergeCell ref="L97:L99"/>
    <mergeCell ref="N97:N99"/>
    <mergeCell ref="P97:P99"/>
    <mergeCell ref="Q97:Q99"/>
    <mergeCell ref="R97:R99"/>
    <mergeCell ref="O98:O99"/>
    <mergeCell ref="C96:E96"/>
    <mergeCell ref="C97:E97"/>
    <mergeCell ref="G97:G99"/>
    <mergeCell ref="H97:H99"/>
    <mergeCell ref="I97:I99"/>
    <mergeCell ref="J97:J99"/>
    <mergeCell ref="K97:K99"/>
    <mergeCell ref="L100:L102"/>
    <mergeCell ref="N100:N102"/>
    <mergeCell ref="P100:P102"/>
    <mergeCell ref="Q100:Q102"/>
    <mergeCell ref="R100:R102"/>
    <mergeCell ref="O101:O102"/>
    <mergeCell ref="L103:L105"/>
    <mergeCell ref="N103:N105"/>
    <mergeCell ref="P103:P105"/>
    <mergeCell ref="Q103:Q105"/>
    <mergeCell ref="R103:R105"/>
    <mergeCell ref="O104:O105"/>
    <mergeCell ref="J109:J111"/>
    <mergeCell ref="K109:K111"/>
    <mergeCell ref="N109:N111"/>
    <mergeCell ref="P109:P111"/>
    <mergeCell ref="Q109:Q111"/>
    <mergeCell ref="R109:R111"/>
    <mergeCell ref="O110:O111"/>
    <mergeCell ref="L163:L165"/>
    <mergeCell ref="N163:N165"/>
    <mergeCell ref="C162:E162"/>
    <mergeCell ref="C163:E163"/>
    <mergeCell ref="G163:G165"/>
    <mergeCell ref="H163:H165"/>
    <mergeCell ref="I163:I165"/>
    <mergeCell ref="J163:J165"/>
    <mergeCell ref="K163:K165"/>
    <mergeCell ref="C165:E165"/>
    <mergeCell ref="Q154:Q156"/>
    <mergeCell ref="R154:R156"/>
    <mergeCell ref="H154:H156"/>
    <mergeCell ref="I154:I156"/>
    <mergeCell ref="J154:J156"/>
    <mergeCell ref="K154:K156"/>
    <mergeCell ref="L154:L156"/>
    <mergeCell ref="N154:N156"/>
    <mergeCell ref="P154:P156"/>
    <mergeCell ref="L157:L159"/>
    <mergeCell ref="N157:N159"/>
    <mergeCell ref="P157:P159"/>
    <mergeCell ref="Q157:Q159"/>
    <mergeCell ref="R157:R159"/>
    <mergeCell ref="O158:O159"/>
    <mergeCell ref="B157:B159"/>
    <mergeCell ref="B160:B162"/>
    <mergeCell ref="B163:B165"/>
    <mergeCell ref="G157:G159"/>
    <mergeCell ref="G160:G162"/>
    <mergeCell ref="H160:H162"/>
    <mergeCell ref="I160:I162"/>
    <mergeCell ref="J160:J162"/>
    <mergeCell ref="K160:K162"/>
    <mergeCell ref="L160:L162"/>
    <mergeCell ref="C157:E157"/>
    <mergeCell ref="H157:H159"/>
    <mergeCell ref="I157:I159"/>
    <mergeCell ref="J157:J159"/>
    <mergeCell ref="K157:K159"/>
    <mergeCell ref="C159:E159"/>
    <mergeCell ref="C160:E160"/>
    <mergeCell ref="P163:P165"/>
    <mergeCell ref="O164:O165"/>
    <mergeCell ref="N160:N162"/>
    <mergeCell ref="P160:P162"/>
    <mergeCell ref="Q160:Q162"/>
    <mergeCell ref="R160:R162"/>
    <mergeCell ref="O161:O162"/>
    <mergeCell ref="Q163:Q165"/>
    <mergeCell ref="R163:R16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3.71"/>
    <col customWidth="1" min="3" max="3" width="8.43"/>
    <col customWidth="1" min="4" max="4" width="0.43"/>
    <col customWidth="1" min="5" max="5" width="8.29"/>
    <col customWidth="1" min="6" max="6" width="15.43"/>
    <col customWidth="1" min="7" max="11" width="13.0"/>
    <col customWidth="1" min="12" max="12" width="10.71"/>
    <col customWidth="1" min="13" max="13" width="8.29"/>
    <col customWidth="1" min="14" max="14" width="4.0"/>
    <col customWidth="1" min="15" max="19" width="8.86"/>
    <col customWidth="1" min="20" max="20" width="2.86"/>
  </cols>
  <sheetData>
    <row r="1">
      <c r="A1" s="70"/>
      <c r="B1" s="156"/>
      <c r="C1" s="70"/>
      <c r="D1" s="70"/>
      <c r="E1" s="70"/>
      <c r="F1" s="72"/>
      <c r="G1" s="73"/>
      <c r="H1" s="73"/>
      <c r="I1" s="73"/>
      <c r="J1" s="73"/>
      <c r="K1" s="73"/>
      <c r="L1" s="70"/>
      <c r="M1" s="70"/>
      <c r="N1" s="70"/>
      <c r="O1" s="70"/>
      <c r="P1" s="70"/>
      <c r="Q1" s="70"/>
      <c r="R1" s="70"/>
      <c r="S1" s="70"/>
      <c r="T1" s="70"/>
    </row>
    <row r="2" ht="32.25" customHeight="1">
      <c r="A2" s="70"/>
      <c r="B2" s="157" t="s">
        <v>316</v>
      </c>
      <c r="D2" s="70"/>
      <c r="E2" s="75" t="s">
        <v>193</v>
      </c>
      <c r="F2" s="72"/>
      <c r="G2" s="73"/>
      <c r="H2" s="73"/>
      <c r="I2" s="73"/>
      <c r="J2" s="76" t="str">
        <f>TRIM('予選'!$A$1)</f>
        <v>　 　　　　　 サンプル</v>
      </c>
      <c r="N2" s="70"/>
      <c r="O2" s="70"/>
      <c r="P2" s="70"/>
      <c r="Q2" s="70"/>
      <c r="R2" s="70"/>
      <c r="S2" s="70"/>
      <c r="T2" s="70"/>
    </row>
    <row r="3">
      <c r="A3" s="70"/>
      <c r="B3" s="158" t="s">
        <v>340</v>
      </c>
      <c r="C3" s="78"/>
      <c r="D3" s="78"/>
      <c r="E3" s="78"/>
      <c r="F3" s="79"/>
      <c r="G3" s="80" t="str">
        <f>LEFT(C4, FIND(" ", C4 &amp; " ") - 1) &amp; "・" &amp; LEFT(C6, FIND(" ", C6 &amp; " ") - 1)
</f>
        <v>小椋・前田</v>
      </c>
      <c r="H3" s="80" t="str">
        <f>LEFT(C7, FIND(" ", C7 &amp; " ") - 1) &amp; "・" &amp; LEFT(C9, FIND(" ", C9 &amp; " ") - 1)
</f>
        <v>住吉・福浜</v>
      </c>
      <c r="I3" s="80" t="str">
        <f>LEFT(C10, FIND(" ", C10 &amp; " ") - 1) &amp; "・" &amp; LEFT(C12, FIND(" ", C12 &amp; " ") - 1)
</f>
        <v>吉田・岡田</v>
      </c>
      <c r="J3" s="80" t="str">
        <f>LEFT(C13, FIND(" ", C13 &amp; " ") - 1) &amp; "・" &amp; LEFT(C15, FIND(" ", C15 &amp; " ") - 1)
</f>
        <v>藤田・藤田</v>
      </c>
      <c r="K3" s="80" t="str">
        <f>LEFT(C16, FIND(" ", C16 &amp; " ") - 1) &amp; "・" &amp; LEFT(C18, FIND(" ", C18 &amp; " ") - 1)
</f>
        <v>清水・大田</v>
      </c>
      <c r="L3" s="82" t="s">
        <v>341</v>
      </c>
      <c r="M3" s="83" t="s">
        <v>198</v>
      </c>
      <c r="N3" s="70"/>
      <c r="O3" s="84" t="s">
        <v>342</v>
      </c>
      <c r="P3" s="85" t="s">
        <v>343</v>
      </c>
      <c r="Q3" s="86" t="s">
        <v>344</v>
      </c>
      <c r="R3" s="86" t="s">
        <v>345</v>
      </c>
      <c r="S3" s="83" t="s">
        <v>198</v>
      </c>
      <c r="T3" s="87"/>
    </row>
    <row r="4" ht="22.5" customHeight="1">
      <c r="A4" s="70"/>
      <c r="B4" s="159">
        <v>45.0</v>
      </c>
      <c r="C4" s="89" t="str">
        <f>IFERROR(VLOOKUP(B4&amp;"-"&amp;1,'リスト'!$B:$D,2,FALSE),"")</f>
        <v>小椋 浩二</v>
      </c>
      <c r="F4" s="90" t="str">
        <f>IFERROR(VLOOKUP(B4&amp;"-"&amp;1,'リスト'!$B:$D,3,FALSE),"")</f>
        <v>てーくおふ</v>
      </c>
      <c r="G4" s="91" t="str">
        <f>IFERROR(__xludf.DUMMYFUNCTION("SPARKLINE({1,0})"),"")</f>
        <v/>
      </c>
      <c r="H4" s="92" t="s">
        <v>346</v>
      </c>
      <c r="I4" s="92" t="s">
        <v>346</v>
      </c>
      <c r="J4" s="92" t="s">
        <v>346</v>
      </c>
      <c r="K4" s="160" t="s">
        <v>346</v>
      </c>
      <c r="L4" s="121" t="str">
        <f>IFERROR(__xludf.DUMMYFUNCTION("SUMPRODUCT(--(REGEXMATCH(TO_TEXT(G4:K4), ""-"")), IFERROR(--(LEFT(G4:K4,FIND(""-"",G4:K4)-1)&gt;RIGHT(G4:K4,LEN(G4:K4)-FIND(""-"",G4:K4))),0)) &amp; ""-"" &amp; SUMPRODUCT(--(REGEXMATCH(TO_TEXT(G4:K4), ""-"")), IFERROR(--(LEFT(G4:K4,FIND(""-"",G4:K4)-1)&lt;RIGHT(G4:K4,"&amp;"LEN(G4:K4)-FIND(""-"",G4:K4))),0))"),"4-0")</f>
        <v>4-0</v>
      </c>
      <c r="M4" s="95" t="str">
        <f>IF(COUNTA(G4,H4,H7,H10,H13,I4,I7,I10,I13,J4,J7,J10,J13,K4,K7,K10,K13,G7,G10,G13,G16,H16,I16,J16,K16)=25,S4,"")</f>
        <v>1位</v>
      </c>
      <c r="N4" s="70"/>
      <c r="O4" s="96">
        <f>IFERROR(VALUE(LEFT(L4,FIND("-",L4)-1)),-1)</f>
        <v>4</v>
      </c>
      <c r="P4" s="97" t="str">
        <f>SUMPRODUCT(IFERROR(--(LEFT(H4:K4,FIND("-",H4:K4)-1)),0)) &amp; "/" &amp; (SUMPRODUCT(IFERROR(--(LEFT(H4:K4,FIND("-",H4:K4)-1)),0)) + SUMPRODUCT(IFERROR(--(RIGHT(H4:K4,LEN(H4:K4)-FIND("-",H4:K4))),0)))</f>
        <v>24/24</v>
      </c>
      <c r="Q4" s="95" t="str">
        <f t="array" ref="Q4">IF(SUMPRODUCT(--({$O4;$O7;$O10;$O13;$O16}=O4))=2, IFERROR(IFS(O4=$O7,IF(VALUE(LEFT(H4,FIND("-",H4)-1))&gt;VALUE(RIGHT(H4,LEN(H4)-FIND("-",H4))),1,0),O4=$O10,IF(VALUE(LEFT(I4,FIND("-",I4)-1))&gt;VALUE(RIGHT(I4,LEN(I4)-FIND("-",I4))),1,0),O4=$O13,IF(VALUE(LEFT(J4,FIND("-",J4)-1))&gt;VALUE(RIGHT(J4,LEN(J4)-FIND("-",J4))),1,0),O4=$O16,IF(VALUE(LEFT(K4,FIND("-",K4)-1))&gt;VALUE(RIGHT(K4,LEN(K4)-FIND("-",K4))),1,0)),""),"")</f>
        <v/>
      </c>
      <c r="R4" s="98">
        <f t="array" ref="R4">O4+IF(SUMPRODUCT(--({O4;O7;O10;O13;O16}=O4))=2,Q4*0.1,IF(SUMPRODUCT(--({O4;O7;O10;O13;O16}=O4))&gt;=3,P5*0.01,0))</f>
        <v>4</v>
      </c>
      <c r="S4" s="95" t="str">
        <f t="array" ref="S4">_xlfn.RANK.EQ(R4, {R4;R7;R10;R13;R16}) &amp; "位"</f>
        <v>1位</v>
      </c>
      <c r="T4" s="99"/>
    </row>
    <row r="5" ht="5.25" customHeight="1">
      <c r="A5" s="70"/>
      <c r="B5" s="100"/>
      <c r="C5" s="101"/>
      <c r="D5" s="102"/>
      <c r="E5" s="102"/>
      <c r="F5" s="103"/>
      <c r="G5" s="31"/>
      <c r="H5" s="104"/>
      <c r="I5" s="104"/>
      <c r="J5" s="104"/>
      <c r="K5" s="38"/>
      <c r="L5" s="107"/>
      <c r="M5" s="106"/>
      <c r="N5" s="70"/>
      <c r="O5" s="107"/>
      <c r="P5" s="108">
        <f>IFERROR(
  SUMPRODUCT(IFERROR(--(LEFT(H4:K4,FIND("-",H4:K4)-1)),0))
  /
  (SUMPRODUCT(IFERROR(--(LEFT(H4:K4,FIND("-",H4:K4)-1)),0)) + SUMPRODUCT(IFERROR(--(RIGHT(H4:K4,LEN(H4:K4)-FIND("-",H4:K4))),0)))
  , 0)</f>
        <v>1</v>
      </c>
      <c r="Q5" s="106"/>
      <c r="R5" s="106"/>
      <c r="S5" s="106"/>
      <c r="T5" s="99"/>
    </row>
    <row r="6" ht="18.75" customHeight="1">
      <c r="A6" s="70"/>
      <c r="B6" s="109"/>
      <c r="C6" s="110" t="str">
        <f>IFERROR(VLOOKUP(B4&amp;"-"&amp;2,'リスト'!$B:$D,2,FALSE),"")</f>
        <v>前田 美由紀</v>
      </c>
      <c r="D6" s="24"/>
      <c r="E6" s="24"/>
      <c r="F6" s="111" t="str">
        <f>IFERROR(VLOOKUP(B4&amp;"-"&amp;2,'リスト'!$B:$D,3,FALSE),"")</f>
        <v>てーくおふ</v>
      </c>
      <c r="G6" s="25"/>
      <c r="H6" s="112"/>
      <c r="I6" s="112"/>
      <c r="J6" s="112"/>
      <c r="K6" s="26"/>
      <c r="L6" s="115"/>
      <c r="M6" s="114"/>
      <c r="N6" s="70"/>
      <c r="O6" s="115"/>
      <c r="P6" s="114"/>
      <c r="Q6" s="114"/>
      <c r="R6" s="114"/>
      <c r="S6" s="114"/>
      <c r="T6" s="99"/>
    </row>
    <row r="7" ht="22.5" customHeight="1">
      <c r="A7" s="70"/>
      <c r="B7" s="161">
        <v>46.0</v>
      </c>
      <c r="C7" s="89" t="str">
        <f>IFERROR(VLOOKUP(B7&amp;"-"&amp;1,'リスト'!$B:$D,2,FALSE),"")</f>
        <v>住吉 俊輝</v>
      </c>
      <c r="F7" s="90" t="str">
        <f>IFERROR(VLOOKUP(B7&amp;"-"&amp;1,'リスト'!$B:$D,3,FALSE),"")</f>
        <v>プラセール</v>
      </c>
      <c r="G7" s="117" t="str">
        <f>IFERROR(MID(H4, FIND("-", H4) + 1, 100) &amp; "-" &amp; LEFT(H4, FIND("-", H4) - 1), "")</f>
        <v>0-6</v>
      </c>
      <c r="H7" s="118" t="str">
        <f>IFERROR(__xludf.DUMMYFUNCTION("SPARKLINE({1,0})"),"")</f>
        <v/>
      </c>
      <c r="I7" s="92" t="s">
        <v>346</v>
      </c>
      <c r="J7" s="92" t="s">
        <v>346</v>
      </c>
      <c r="K7" s="160" t="s">
        <v>346</v>
      </c>
      <c r="L7" s="121" t="str">
        <f>IFERROR(__xludf.DUMMYFUNCTION("SUMPRODUCT(--(REGEXMATCH(TO_TEXT(G7:K7), ""-"")), IFERROR(--(LEFT(G7:K7,FIND(""-"",G7:K7)-1)&gt;RIGHT(G7:K7,LEN(G7:K7)-FIND(""-"",G7:K7))),0)) &amp; ""-"" &amp; SUMPRODUCT(--(REGEXMATCH(TO_TEXT(G7:K7), ""-"")), IFERROR(--(LEFT(G7:K7,FIND(""-"",G7:K7)-1)&lt;RIGHT(G7:K7,"&amp;"LEN(G7:K7)-FIND(""-"",G7:K7))),0))"),"3-1")</f>
        <v>3-1</v>
      </c>
      <c r="M7" s="95" t="str">
        <f>IF(COUNTA($G$4,$H$4,$H$7,$H$10,$H$13,$I$4,$I$7,$I$10,$I$13,$J$4,$J$7,$J$10,$J$13,$K$4,$K$7,$K$10,$K$13,$G$7,$G$10,$G$13,$G$16,$H$16,$I$16,$J$16,$K$16)=25,S7,"")</f>
        <v>2位</v>
      </c>
      <c r="N7" s="70"/>
      <c r="O7" s="96">
        <f>IFERROR(VALUE(LEFT(L7,FIND("-",L7)-1)),-1)</f>
        <v>3</v>
      </c>
      <c r="P7" s="97" t="str">
        <f>SUMPRODUCT(IFERROR(--(LEFT(G7:K7,FIND("-",G7:K7)-1)),0)) &amp; "/" &amp; (SUMPRODUCT(IFERROR(--(LEFT(G7:K7,FIND("-",G7:K7)-1)),0)) + SUMPRODUCT(IFERROR(--(RIGHT(G7:K7,LEN(G7:K7)-FIND("-",G7:K7))),0)))</f>
        <v>18/24</v>
      </c>
      <c r="Q7" s="95" t="str">
        <f t="array" ref="Q7">IF(SUMPRODUCT(--({O4;O7;O10;O13;O16}=O7))=2, IFERROR(IFS(O7=$O4,IF(VALUE(LEFT(H4,FIND("-",H4)-1))&lt;VALUE(RIGHT(H4,LEN(H4)-FIND("-",H4))),1,0),O7=$O10,IF(VALUE(LEFT(I7,FIND("-",I7)-1))&gt;VALUE(RIGHT(I7,LEN(I7)-FIND("-",I7))),1,0),O7=$O13,IF(VALUE(LEFT(J7,FIND("-",J7)-1))&gt;VALUE(RIGHT(J7,LEN(J7)-FIND("-",J7))),1,0),O7=$O16,IF(VALUE(LEFT(K7,FIND("-",K7)-1))&gt;VALUE(RIGHT(K7,LEN(K7)-FIND("-",K7))),1,0)),""),"")</f>
        <v/>
      </c>
      <c r="R7" s="98">
        <f t="array" ref="R7">O7+IF(SUMPRODUCT(--({O4;O7;O10;O13;O16}=O7))=2,Q7*0.1,IF(SUMPRODUCT(--({O4;O7;O10;O13;O16}=O7))&gt;=3,P8*0.01,0))</f>
        <v>3</v>
      </c>
      <c r="S7" s="95" t="str">
        <f t="array" ref="S7">_xlfn.RANK.EQ(R7, {R4;R7;R10;R13;R16}) &amp; "位"</f>
        <v>2位</v>
      </c>
      <c r="T7" s="99"/>
    </row>
    <row r="8" ht="5.25" customHeight="1">
      <c r="A8" s="70"/>
      <c r="B8" s="100"/>
      <c r="C8" s="101"/>
      <c r="D8" s="102"/>
      <c r="E8" s="102"/>
      <c r="F8" s="103"/>
      <c r="G8" s="31"/>
      <c r="H8" s="104"/>
      <c r="I8" s="104"/>
      <c r="J8" s="104"/>
      <c r="K8" s="38"/>
      <c r="L8" s="107"/>
      <c r="M8" s="106"/>
      <c r="N8" s="70"/>
      <c r="O8" s="107"/>
      <c r="P8" s="108">
        <f>IFERROR(
  SUMPRODUCT(IFERROR(--(LEFT(G7:K7,FIND("-",G7:K7)-1)),0))
  /
  (SUMPRODUCT(IFERROR(--(LEFT(G7:K7,FIND("-",G7:K7)-1)),0)) + SUMPRODUCT(IFERROR(--(RIGHT(G7:K7,LEN(G7:K7)-FIND("-",G7:K7))),0)))
  , 0)</f>
        <v>0.75</v>
      </c>
      <c r="Q8" s="106"/>
      <c r="R8" s="106"/>
      <c r="S8" s="106"/>
      <c r="T8" s="99"/>
    </row>
    <row r="9" ht="22.5" customHeight="1">
      <c r="A9" s="70"/>
      <c r="B9" s="109"/>
      <c r="C9" s="110" t="str">
        <f>IFERROR(VLOOKUP(B7&amp;"-"&amp;2,'リスト'!$B:$D,2,FALSE),"")</f>
        <v>福浜 美佐緒</v>
      </c>
      <c r="D9" s="24"/>
      <c r="E9" s="24"/>
      <c r="F9" s="111" t="str">
        <f>IFERROR(VLOOKUP(B7&amp;"-"&amp;2,'リスト'!$B:$D,3,FALSE),"")</f>
        <v>プラセール</v>
      </c>
      <c r="G9" s="25"/>
      <c r="H9" s="112"/>
      <c r="I9" s="112"/>
      <c r="J9" s="112"/>
      <c r="K9" s="26"/>
      <c r="L9" s="115"/>
      <c r="M9" s="114"/>
      <c r="N9" s="70"/>
      <c r="O9" s="115"/>
      <c r="P9" s="114"/>
      <c r="Q9" s="114"/>
      <c r="R9" s="114"/>
      <c r="S9" s="114"/>
      <c r="T9" s="99"/>
    </row>
    <row r="10" ht="22.5" customHeight="1">
      <c r="A10" s="70"/>
      <c r="B10" s="159">
        <v>47.0</v>
      </c>
      <c r="C10" s="89" t="str">
        <f>IFERROR(VLOOKUP(B10&amp;"-"&amp;1,'リスト'!$B:$D,2,FALSE),"")</f>
        <v>吉田 浩士</v>
      </c>
      <c r="F10" s="90" t="str">
        <f>IFERROR(VLOOKUP(B10&amp;"-"&amp;1,'リスト'!$B:$D,3,FALSE),"")</f>
        <v>ノーレット７</v>
      </c>
      <c r="G10" s="117" t="str">
        <f>IFERROR(MID(I4, FIND("-", I4) + 1, 100) &amp; "-" &amp; LEFT(I4, FIND("-", I4) - 1), "")</f>
        <v>0-6</v>
      </c>
      <c r="H10" s="117" t="str">
        <f>IFERROR(MID(I7, FIND("-", I7) + 1, 100) &amp; "-" &amp; LEFT(I7, FIND("-", I7) - 1), "")</f>
        <v>0-6</v>
      </c>
      <c r="I10" s="118" t="str">
        <f>IFERROR(__xludf.DUMMYFUNCTION("SPARKLINE({1,0})"),"")</f>
        <v/>
      </c>
      <c r="J10" s="92" t="s">
        <v>346</v>
      </c>
      <c r="K10" s="160" t="s">
        <v>346</v>
      </c>
      <c r="L10" s="121" t="str">
        <f>IFERROR(__xludf.DUMMYFUNCTION("SUMPRODUCT(--(REGEXMATCH(TO_TEXT(G10:K10), ""-"")), IFERROR(--(LEFT(G10:K10,FIND(""-"",G10:K10)-1)&gt;RIGHT(G10:K10,LEN(G10:K10)-FIND(""-"",G10:K10))),0)) &amp; ""-"" &amp; SUMPRODUCT(--(REGEXMATCH(TO_TEXT(G10:K10), ""-"")), IFERROR(--(LEFT(G10:K10,FIND(""-"",G10:K1"&amp;"0)-1)&lt;RIGHT(G10:K10,LEN(G10:K10)-FIND(""-"",G10:K10))),0))"),"2-2")</f>
        <v>2-2</v>
      </c>
      <c r="M10" s="95" t="str">
        <f>IF(COUNTA($G$4,$H$4,$H$7,$H$10,$H$13,$I$4,$I$7,$I$10,$I$13,$J$4,$J$7,$J$10,$J$13,$K$4,$K$7,$K$10,$K$13,$G$7,$G$10,$G$13,$G$16,$H$16,$I$16,$J$16,$K$16)=25,S10,"")</f>
        <v>3位</v>
      </c>
      <c r="N10" s="70"/>
      <c r="O10" s="96">
        <f>IFERROR(VALUE(LEFT(L10,FIND("-",L10)-1)),-1)</f>
        <v>2</v>
      </c>
      <c r="P10" s="97" t="str">
        <f>SUMPRODUCT(IFERROR(--(LEFT(G10:K10,FIND("-",G10:K10)-1)),0)) &amp; "/" &amp; (SUMPRODUCT(IFERROR(--(LEFT(G10:K10,FIND("-",G10:K10)-1)),0)) + SUMPRODUCT(IFERROR(--(RIGHT(G10:K10,LEN(G10:K10)-FIND("-",G10:K10))),0)))</f>
        <v>12/24</v>
      </c>
      <c r="Q10" s="95" t="str">
        <f t="array" ref="Q10">IF(SUMPRODUCT(--({O4;O7;O10;O13;O16}=O10))=2, IFERROR(IFS(O10=$O4,IF(VALUE(LEFT(I4,FIND("-",I4)-1))&lt;VALUE(RIGHT(I4,LEN(I4)-FIND("-",I4))),1,0),O10=$O7,IF(VALUE(LEFT(I7,FIND("-",I7)-1))&lt;VALUE(RIGHT(I7,LEN(I7)-FIND("-",I7))),1,0),O10=$O13,IF(VALUE(LEFT(J10,FIND("-",J10)-1))&gt;VALUE(RIGHT(J10,LEN(J10)-FIND("-",J10))),1,0),O10=$O16,IF(VALUE(LEFT(K10,FIND("-",K10)-1))&gt;VALUE(RIGHT(K10,LEN(K10)-FIND("-",K10))),1,0)),""),"")</f>
        <v/>
      </c>
      <c r="R10" s="98">
        <f t="array" ref="R10">O10+IF(SUMPRODUCT(--({O4;O7;O10;O13;O16}=O10))=2,Q10*0.1,IF(SUMPRODUCT(--({O4;O7;O10;O13;O16}=O10))&gt;=3,P11*0.01,0))</f>
        <v>2</v>
      </c>
      <c r="S10" s="95" t="str">
        <f t="array" ref="S10">_xlfn.RANK.EQ(R10, {R4;R7;R10;R13;R16}) &amp; "位"</f>
        <v>3位</v>
      </c>
      <c r="T10" s="99"/>
    </row>
    <row r="11" ht="5.25" customHeight="1">
      <c r="A11" s="70"/>
      <c r="B11" s="100"/>
      <c r="C11" s="101"/>
      <c r="D11" s="102"/>
      <c r="E11" s="102"/>
      <c r="F11" s="103"/>
      <c r="G11" s="31"/>
      <c r="H11" s="31"/>
      <c r="I11" s="104"/>
      <c r="J11" s="104"/>
      <c r="K11" s="38"/>
      <c r="L11" s="107"/>
      <c r="M11" s="106"/>
      <c r="N11" s="70"/>
      <c r="O11" s="107"/>
      <c r="P11" s="108">
        <f>IFERROR(
  SUMPRODUCT(IFERROR(--(LEFT(G10:K10,FIND("-",G10:K10)-1)),0))
  /
  (SUMPRODUCT(IFERROR(--(LEFT(G10:K10,FIND("-",G10:K10)-1)),0)) + SUMPRODUCT(IFERROR(--(RIGHT(G10:K10,LEN(G10:K10)-FIND("-",G10:K10))),0)))
  , 0)</f>
        <v>0.5</v>
      </c>
      <c r="Q11" s="106"/>
      <c r="R11" s="106"/>
      <c r="S11" s="106"/>
      <c r="T11" s="99"/>
    </row>
    <row r="12" ht="22.5" customHeight="1">
      <c r="A12" s="70"/>
      <c r="B12" s="109"/>
      <c r="C12" s="110" t="str">
        <f>IFERROR(VLOOKUP(B10&amp;"-"&amp;2,'リスト'!$B:$D,2,FALSE),"")</f>
        <v>岡田 友子</v>
      </c>
      <c r="D12" s="24"/>
      <c r="E12" s="24"/>
      <c r="F12" s="111" t="str">
        <f>IFERROR(VLOOKUP(B10&amp;"-"&amp;2,'リスト'!$B:$D,3,FALSE),"")</f>
        <v>ノーレット７</v>
      </c>
      <c r="G12" s="25"/>
      <c r="H12" s="25"/>
      <c r="I12" s="112"/>
      <c r="J12" s="112"/>
      <c r="K12" s="26"/>
      <c r="L12" s="115"/>
      <c r="M12" s="114"/>
      <c r="N12" s="70"/>
      <c r="O12" s="115"/>
      <c r="P12" s="114"/>
      <c r="Q12" s="114"/>
      <c r="R12" s="114"/>
      <c r="S12" s="114"/>
      <c r="T12" s="99"/>
    </row>
    <row r="13" ht="22.5" customHeight="1">
      <c r="A13" s="70"/>
      <c r="B13" s="161">
        <v>48.0</v>
      </c>
      <c r="C13" s="89" t="str">
        <f>IFERROR(VLOOKUP(B13&amp;"-"&amp;1,'リスト'!$B:$D,2,FALSE),"")</f>
        <v>藤田 和幸</v>
      </c>
      <c r="F13" s="90" t="str">
        <f>IFERROR(VLOOKUP(B13&amp;"-"&amp;1,'リスト'!$B:$D,3,FALSE),"")</f>
        <v>フリー</v>
      </c>
      <c r="G13" s="119" t="str">
        <f>IFERROR(MID(J4, FIND("-", J4) + 1, 100) &amp; "-" &amp; LEFT(J4, FIND("-", J4) - 1), "")</f>
        <v>0-6</v>
      </c>
      <c r="H13" s="117" t="str">
        <f>IFERROR(MID(J7, FIND("-", J7) + 1, 100) &amp; "-" &amp; LEFT(J7, FIND("-", J7) - 1), "")</f>
        <v>0-6</v>
      </c>
      <c r="I13" s="117" t="str">
        <f>IFERROR(MID(J10, FIND("-", J10) + 1, 100) &amp; "-" &amp; LEFT(J10, FIND("-", J10) - 1), "")</f>
        <v>0-6</v>
      </c>
      <c r="J13" s="118" t="str">
        <f>IFERROR(__xludf.DUMMYFUNCTION("SPARKLINE({1,0})"),"")</f>
        <v/>
      </c>
      <c r="K13" s="160" t="s">
        <v>346</v>
      </c>
      <c r="L13" s="121" t="str">
        <f>IFERROR(__xludf.DUMMYFUNCTION("SUMPRODUCT(--(REGEXMATCH(TO_TEXT(G13:K13), ""-"")), IFERROR(--(LEFT(G13:K13,FIND(""-"",G13:K13)-1)&gt;RIGHT(G13:K13,LEN(G13:K13)-FIND(""-"",G13:K13))),0)) &amp; ""-"" &amp; SUMPRODUCT(--(REGEXMATCH(TO_TEXT(G13:K13), ""-"")), IFERROR(--(LEFT(G13:K13,FIND(""-"",G13:K1"&amp;"3)-1)&lt;RIGHT(G13:K13,LEN(G13:K13)-FIND(""-"",G13:K13))),0))"),"1-3")</f>
        <v>1-3</v>
      </c>
      <c r="M13" s="95" t="str">
        <f>IF(COUNTA($G$4,$H$4,$H$7,$H$10,$H$13,$I$4,$I$7,$I$10,$I$13,$J$4,$J$7,$J$10,$J$13,$K$4,$K$7,$K$10,$K$13,$G$7,$G$10,$G$13,$G$16,$H$16,$I$16,$J$16,$K$16)=25,S13,"")</f>
        <v>4位</v>
      </c>
      <c r="N13" s="70"/>
      <c r="O13" s="96">
        <f>IFERROR(VALUE(LEFT(L13,FIND("-",L13)-1)),-1)</f>
        <v>1</v>
      </c>
      <c r="P13" s="97" t="str">
        <f>SUMPRODUCT(IFERROR(--(LEFT(G13:K13,FIND("-",G13:K13)-1)),0)) &amp; "/" &amp; (SUMPRODUCT(IFERROR(--(LEFT(G13:K13,FIND("-",G13:K13)-1)),0)) + SUMPRODUCT(IFERROR(--(RIGHT(G13:K13,LEN(G13:K13)-FIND("-",G13:K13))),0)))</f>
        <v>6/24</v>
      </c>
      <c r="Q13" s="95" t="str">
        <f t="array" ref="Q13">IF(SUMPRODUCT(--({O4;O7;O10;O13;O16}=O13))=2, IFERROR(IFS(O13=$O4,IF(VALUE(LEFT(J4,FIND("-",J4)-1))&lt;VALUE(RIGHT(J4,LEN(J4)-FIND("-",J4))),1,0),O13=$O7,IF(VALUE(LEFT(J7,FIND("-",J7)-1))&lt;VALUE(RIGHT(J7,LEN(J7)-FIND("-",J7))),1,0),O13=$O10,IF(VALUE(LEFT(J10,FIND("-",J10)-1))&lt;VALUE(RIGHT(J10,LEN(J10)-FIND("-",J10))),1,0),O13=$O16,IF(VALUE(LEFT(K13,FIND("-",K13)-1))&gt;VALUE(RIGHT(K13,LEN(K13)-FIND("-",K13))),1,0)),""),"")</f>
        <v/>
      </c>
      <c r="R13" s="98">
        <f t="array" ref="R13">O13+IF(SUMPRODUCT(--({O4;O7;O10;O13;O16}=O13))=2,Q13*0.1,IF(SUMPRODUCT(--({O4;O7;O10;O13;O16}=O13))&gt;=3,P14*0.01,0))</f>
        <v>1</v>
      </c>
      <c r="S13" s="95" t="str">
        <f t="array" ref="S13">_xlfn.RANK.EQ(R13, {R4;R7;R10;R13;R16}) &amp; "位"</f>
        <v>4位</v>
      </c>
      <c r="T13" s="99"/>
    </row>
    <row r="14" ht="5.25" customHeight="1">
      <c r="A14" s="70"/>
      <c r="B14" s="100"/>
      <c r="C14" s="101"/>
      <c r="D14" s="102"/>
      <c r="E14" s="102"/>
      <c r="F14" s="103"/>
      <c r="G14" s="31"/>
      <c r="H14" s="31"/>
      <c r="I14" s="31"/>
      <c r="J14" s="104"/>
      <c r="K14" s="38"/>
      <c r="L14" s="107"/>
      <c r="M14" s="106"/>
      <c r="N14" s="70"/>
      <c r="O14" s="107"/>
      <c r="P14" s="108">
        <f>IFERROR(
  SUMPRODUCT(IFERROR(--(LEFT(G13:K13,FIND("-",G13:K13)-1)),0))
  /
  (SUMPRODUCT(IFERROR(--(LEFT(G13:K13,FIND("-",G13:K13)-1)),0)) + SUMPRODUCT(IFERROR(--(RIGHT(G13:K13,LEN(G13:K13)-FIND("-",G13:K13))),0)))
  , 0)</f>
        <v>0.25</v>
      </c>
      <c r="Q14" s="106"/>
      <c r="R14" s="106"/>
      <c r="S14" s="106"/>
      <c r="T14" s="99"/>
    </row>
    <row r="15" ht="22.5" customHeight="1">
      <c r="A15" s="70"/>
      <c r="B15" s="109"/>
      <c r="C15" s="110" t="str">
        <f>IFERROR(VLOOKUP(B13&amp;"-"&amp;2,'リスト'!$B:$D,2,FALSE),"")</f>
        <v>藤田 美和</v>
      </c>
      <c r="D15" s="24"/>
      <c r="E15" s="24"/>
      <c r="F15" s="111" t="str">
        <f>IFERROR(VLOOKUP(B13&amp;"-"&amp;2,'リスト'!$B:$D,3,FALSE),"")</f>
        <v>フリー</v>
      </c>
      <c r="G15" s="25"/>
      <c r="H15" s="25"/>
      <c r="I15" s="25"/>
      <c r="J15" s="112"/>
      <c r="K15" s="26"/>
      <c r="L15" s="115"/>
      <c r="M15" s="114"/>
      <c r="N15" s="70"/>
      <c r="O15" s="115"/>
      <c r="P15" s="114"/>
      <c r="Q15" s="114"/>
      <c r="R15" s="114"/>
      <c r="S15" s="114"/>
      <c r="T15" s="99"/>
    </row>
    <row r="16" ht="22.5" customHeight="1">
      <c r="A16" s="70"/>
      <c r="B16" s="161">
        <v>49.0</v>
      </c>
      <c r="C16" s="89" t="str">
        <f>IFERROR(VLOOKUP(B16&amp;"-"&amp;1,'リスト'!$B:$D,2,FALSE),"")</f>
        <v>清水 貴志</v>
      </c>
      <c r="F16" s="90" t="str">
        <f>IFERROR(VLOOKUP(B16&amp;"-"&amp;1,'リスト'!$B:$D,3,FALSE),"")</f>
        <v>フリー</v>
      </c>
      <c r="G16" s="119" t="str">
        <f>IFERROR(MID(K4, FIND("-", K4) + 1, 100) &amp; "-" &amp; LEFT(K4, FIND("-", K4) - 1), "")</f>
        <v>0-6</v>
      </c>
      <c r="H16" s="119" t="str">
        <f>IFERROR(MID(K7, FIND("-", K7) + 1, 100) &amp; "-" &amp; LEFT(K7, FIND("-", K7) - 1), "")</f>
        <v>0-6</v>
      </c>
      <c r="I16" s="117" t="str">
        <f>IFERROR(MID(K10, FIND("-", K10) + 1, 100) &amp; "-" &amp; LEFT(K10, FIND("-", K10) - 1), "")</f>
        <v>0-6</v>
      </c>
      <c r="J16" s="117" t="str">
        <f>IFERROR(MID(K13, FIND("-", K13) + 1, 100) &amp; "-" &amp; LEFT(K13, FIND("-", K13) - 1), "")</f>
        <v>0-6</v>
      </c>
      <c r="K16" s="120" t="str">
        <f>IFERROR(__xludf.DUMMYFUNCTION("SPARKLINE({1,0})"),"")</f>
        <v/>
      </c>
      <c r="L16" s="121" t="str">
        <f>IFERROR(__xludf.DUMMYFUNCTION("SUMPRODUCT(--(REGEXMATCH(TO_TEXT(G16:K16), ""-"")), IFERROR(--(LEFT(G16:K16,FIND(""-"",G16:K16)-1)&gt;RIGHT(G16:K16,LEN(G16:K16)-FIND(""-"",G16:K16))),0)) &amp; ""-"" &amp; SUMPRODUCT(--(REGEXMATCH(TO_TEXT(G16:K16), ""-"")), IFERROR(--(LEFT(G16:K16,FIND(""-"",G16:K1"&amp;"6)-1)&lt;RIGHT(G16:K16,LEN(G16:K16)-FIND(""-"",G16:K16))),0))"),"0-4")</f>
        <v>0-4</v>
      </c>
      <c r="M16" s="95" t="str">
        <f>IF(COUNTA($G$4,$H$4,$H$7,$H$10,$H$13,$I$4,$I$7,$I$10,$I$13,$J$4,$J$7,$J$10,$J$13,$K$4,$K$7,$K$10,$K$13,$G$7,$G$10,$G$13,$G$16,$H$16,$I$16,$J$16,$K$16)=25,S16,"")</f>
        <v>5位</v>
      </c>
      <c r="N16" s="70"/>
      <c r="O16" s="96">
        <f>IFERROR(VALUE(LEFT(L16,FIND("-",L16)-1)),-1)</f>
        <v>0</v>
      </c>
      <c r="P16" s="97" t="str">
        <f>SUMPRODUCT(IFERROR(--(LEFT(G16:K16,FIND("-",G16:K16)-1)),0)) &amp; "/" &amp; (SUMPRODUCT(IFERROR(--(LEFT(G16:K16,FIND("-",G16:K16)-1)),0)) + SUMPRODUCT(IFERROR(--(RIGHT(G16:K16,LEN(G16:K16)-FIND("-",G16:K16))),0)))</f>
        <v>0/24</v>
      </c>
      <c r="Q16" s="95" t="str">
        <f t="array" ref="Q16">IF(SUMPRODUCT(--({O4;O7;O10;O13;O16}=O16))=2, IFERROR(IFS(O16=$O4,IF(VALUE(LEFT(K4,FIND("-",K4)-1))&lt;VALUE(RIGHT(K4,LEN(K4)-FIND("-",K4))),1,0),O16=$O7,IF(VALUE(LEFT(K7,FIND("-",K7)-1))&lt;VALUE(RIGHT(K7,LEN(K7)-FIND("-",K7))),1,0),O16=$O10,IF(VALUE(LEFT(K10,FIND("-",K10)-1))&lt;VALUE(RIGHT(K10,LEN(K10)-FIND("-",K10))),1,0),O16=$O13,IF(VALUE(LEFT(K13,FIND("-",K13)-1))&lt;VALUE(RIGHT(K13,LEN(K13)-FIND("-",K13))),1,0)),""),"")</f>
        <v/>
      </c>
      <c r="R16" s="98">
        <f t="array" ref="R16">O16+IF(SUMPRODUCT(--({O4;O7;O10;O13;O16}=O16))=2,Q16*0.1,IF(SUMPRODUCT(--({O4;O7;O10;O13;O16}=O16))&gt;=3,P17*0.01,0))</f>
        <v>0</v>
      </c>
      <c r="S16" s="95" t="str">
        <f t="array" ref="S16">_xlfn.RANK.EQ(R16, {R4;R7;R10;R13;R16}) &amp; "位"</f>
        <v>5位</v>
      </c>
      <c r="T16" s="99"/>
    </row>
    <row r="17" ht="5.25" customHeight="1">
      <c r="A17" s="70"/>
      <c r="B17" s="100"/>
      <c r="C17" s="101"/>
      <c r="D17" s="102"/>
      <c r="E17" s="102"/>
      <c r="F17" s="103"/>
      <c r="G17" s="31"/>
      <c r="H17" s="31"/>
      <c r="I17" s="31"/>
      <c r="J17" s="31"/>
      <c r="K17" s="38"/>
      <c r="L17" s="107"/>
      <c r="M17" s="106"/>
      <c r="N17" s="70"/>
      <c r="O17" s="107"/>
      <c r="P17" s="108">
        <f>IFERROR(
  SUMPRODUCT(IFERROR(--(LEFT(G16:K16,FIND("-",G16:K16)-1)),0))
  /
  (SUMPRODUCT(IFERROR(--(LEFT(G16:K16,FIND("-",G16:K16)-1)),0)) + SUMPRODUCT(IFERROR(--(RIGHT(G16:K16,LEN(G16:K16)-FIND("-",G16:K16))),0)))
  , 0)</f>
        <v>0</v>
      </c>
      <c r="Q17" s="106"/>
      <c r="R17" s="106"/>
      <c r="S17" s="106"/>
      <c r="T17" s="99"/>
    </row>
    <row r="18" ht="22.5" customHeight="1">
      <c r="A18" s="70"/>
      <c r="B18" s="122"/>
      <c r="C18" s="123" t="str">
        <f>IFERROR(VLOOKUP(B16&amp;"-"&amp;2,'リスト'!$B:$D,2,FALSE),"")</f>
        <v>大田 陽子</v>
      </c>
      <c r="D18" s="124"/>
      <c r="E18" s="124"/>
      <c r="F18" s="125" t="str">
        <f>IFERROR(VLOOKUP(B16&amp;"-"&amp;2,'リスト'!$B:$D,3,FALSE),"")</f>
        <v>たんぽぽ</v>
      </c>
      <c r="G18" s="126"/>
      <c r="H18" s="126"/>
      <c r="I18" s="126"/>
      <c r="J18" s="126"/>
      <c r="K18" s="127"/>
      <c r="L18" s="128"/>
      <c r="M18" s="129"/>
      <c r="N18" s="70"/>
      <c r="O18" s="128"/>
      <c r="P18" s="129"/>
      <c r="Q18" s="129"/>
      <c r="R18" s="129"/>
      <c r="S18" s="129"/>
      <c r="T18" s="99"/>
    </row>
    <row r="19" ht="17.25" customHeight="1">
      <c r="A19" s="70"/>
      <c r="B19" s="157"/>
      <c r="C19" s="157"/>
      <c r="D19" s="70"/>
      <c r="E19" s="75"/>
      <c r="F19" s="72"/>
      <c r="G19" s="73"/>
      <c r="H19" s="73"/>
      <c r="I19" s="73"/>
      <c r="J19" s="73"/>
      <c r="K19" s="73"/>
      <c r="L19" s="70"/>
      <c r="M19" s="76"/>
      <c r="N19" s="70"/>
      <c r="O19" s="70"/>
      <c r="P19" s="70"/>
      <c r="Q19" s="70"/>
      <c r="R19" s="70"/>
      <c r="S19" s="70"/>
      <c r="T19" s="70"/>
    </row>
    <row r="20" ht="32.25" customHeight="1">
      <c r="A20" s="70"/>
      <c r="B20" s="157" t="s">
        <v>329</v>
      </c>
      <c r="D20" s="70"/>
      <c r="E20" s="75" t="s">
        <v>193</v>
      </c>
      <c r="F20" s="72"/>
      <c r="G20" s="73"/>
      <c r="H20" s="73"/>
      <c r="I20" s="73"/>
      <c r="J20" s="76" t="str">
        <f>TRIM('予選'!$A$1)</f>
        <v>　 　　　　　 サンプル</v>
      </c>
      <c r="N20" s="70"/>
      <c r="O20" s="70"/>
      <c r="P20" s="70"/>
      <c r="Q20" s="70"/>
      <c r="R20" s="70"/>
      <c r="S20" s="70"/>
      <c r="T20" s="70"/>
    </row>
    <row r="21">
      <c r="A21" s="70"/>
      <c r="B21" s="158" t="s">
        <v>340</v>
      </c>
      <c r="C21" s="78"/>
      <c r="D21" s="78"/>
      <c r="E21" s="78"/>
      <c r="F21" s="79"/>
      <c r="G21" s="80" t="str">
        <f>LEFT(C22, FIND(" ", C22 &amp; " ") - 1) &amp; "・" &amp; LEFT(C24, FIND(" ", C24 &amp; " ") - 1)
</f>
        <v>竹安・楠瀬</v>
      </c>
      <c r="H21" s="80" t="str">
        <f>LEFT(C25, FIND(" ", C25 &amp; " ") - 1) &amp; "・" &amp; LEFT(C27, FIND(" ", C27 &amp; " ") - 1)
</f>
        <v>橋本・今城</v>
      </c>
      <c r="I21" s="80" t="str">
        <f>LEFT(C28, FIND(" ", C28 &amp; " ") - 1) &amp; "・" &amp; LEFT(C30, FIND(" ", C30 &amp; " ") - 1)
</f>
        <v>井嶋・高木</v>
      </c>
      <c r="J21" s="80" t="str">
        <f>LEFT(C31, FIND(" ", C31 &amp; " ") - 1) &amp; "・" &amp; LEFT(C33, FIND(" ", C33 &amp; " ") - 1)
</f>
        <v>吉田・吉田</v>
      </c>
      <c r="K21" s="80" t="str">
        <f>LEFT(C34, FIND(" ", C34 &amp; " ") - 1) &amp; "・" &amp; LEFT(C36, FIND(" ", C36 &amp; " ") - 1)
</f>
        <v>遠藤・遠藤</v>
      </c>
      <c r="L21" s="82" t="s">
        <v>341</v>
      </c>
      <c r="M21" s="83" t="s">
        <v>198</v>
      </c>
      <c r="N21" s="70"/>
      <c r="O21" s="84" t="s">
        <v>342</v>
      </c>
      <c r="P21" s="85" t="s">
        <v>343</v>
      </c>
      <c r="Q21" s="86" t="s">
        <v>344</v>
      </c>
      <c r="R21" s="86" t="s">
        <v>345</v>
      </c>
      <c r="S21" s="83" t="s">
        <v>198</v>
      </c>
      <c r="T21" s="87"/>
    </row>
    <row r="22" ht="22.5" customHeight="1">
      <c r="A22" s="70"/>
      <c r="B22" s="159">
        <v>50.0</v>
      </c>
      <c r="C22" s="89" t="str">
        <f>IFERROR(VLOOKUP(B22&amp;"-"&amp;1,'リスト'!$B:$D,2,FALSE),"")</f>
        <v>竹安 秀平</v>
      </c>
      <c r="F22" s="90" t="str">
        <f>IFERROR(VLOOKUP(B22&amp;"-"&amp;1,'リスト'!$B:$D,3,FALSE),"")</f>
        <v>ＲｅＦｌｅｘ</v>
      </c>
      <c r="G22" s="91" t="str">
        <f>IFERROR(__xludf.DUMMYFUNCTION("SPARKLINE({1,0})"),"")</f>
        <v/>
      </c>
      <c r="H22" s="92" t="s">
        <v>213</v>
      </c>
      <c r="I22" s="92" t="s">
        <v>354</v>
      </c>
      <c r="J22" s="92" t="s">
        <v>212</v>
      </c>
      <c r="K22" s="92" t="s">
        <v>355</v>
      </c>
      <c r="L22" s="121" t="str">
        <f>IFERROR(__xludf.DUMMYFUNCTION("SUMPRODUCT(--(REGEXMATCH(TO_TEXT(G22:K22), ""-"")), IFERROR(--(LEFT(G22:K22,FIND(""-"",G22:K22)-1)&gt;RIGHT(G22:K22,LEN(G22:K22)-FIND(""-"",G22:K22))),0)) &amp; ""-"" &amp; SUMPRODUCT(--(REGEXMATCH(TO_TEXT(G22:K22), ""-"")), IFERROR(--(LEFT(G22:K22,FIND(""-"",G22:K2"&amp;"2)-1)&lt;RIGHT(G22:K22,LEN(G22:K22)-FIND(""-"",G22:K22))),0))"),"3-1")</f>
        <v>3-1</v>
      </c>
      <c r="M22" s="95" t="str">
        <f>IF(COUNTA($G$22,$H$22,$H$25,$H$28,$H$31,$I$22,$I$25,$I$28,$I$31,$J$22,$J$25,$J$28,$J$31,$K$22,$K$25,$K$28,$K$31,$G$25,$G$28,$G$31,$G$34,$H$34,$I$34,$J$34,$K$34)=25,S22,"")</f>
        <v>1位</v>
      </c>
      <c r="N22" s="70"/>
      <c r="O22" s="96">
        <f>IFERROR(VALUE(LEFT(L22,FIND("-",L22)-1)),-1)</f>
        <v>3</v>
      </c>
      <c r="P22" s="97" t="str">
        <f>SUMPRODUCT(IFERROR(--(LEFT(H22:K22,FIND("-",H22:K22)-1)),0)) &amp; "/" &amp; (SUMPRODUCT(IFERROR(--(LEFT(H22:K22,FIND("-",H22:K22)-1)),0)) + SUMPRODUCT(IFERROR(--(RIGHT(H22:K22,LEN(H22:K22)-FIND("-",H22:K22))),0)))</f>
        <v>21/34</v>
      </c>
      <c r="Q22" s="95">
        <f t="array" ref="Q22">IF(SUMPRODUCT(--({$O22;$O25;$O28;$O31;$O34}=O22))=2, IFERROR(IFS(O22=$O25,IF(VALUE(LEFT(H22,FIND("-",H22)-1))&gt;VALUE(RIGHT(H22,LEN(H22)-FIND("-",H22))),1,0),O22=$O28,IF(VALUE(LEFT(I22,FIND("-",I22)-1))&gt;VALUE(RIGHT(I22,LEN(I22)-FIND("-",I22))),1,0),O22=$O31,IF(VALUE(LEFT(J22,FIND("-",J22)-1))&gt;VALUE(RIGHT(J22,LEN(J22)-FIND("-",J22))),1,0),O22=$O34,IF(VALUE(LEFT(K22,FIND("-",K22)-1))&gt;VALUE(RIGHT(K22,LEN(K22)-FIND("-",K22))),1,0)),""),"")</f>
        <v>1</v>
      </c>
      <c r="R22" s="98">
        <f t="array" ref="R22">O22+IF(SUMPRODUCT(--({O22;O25;O28;O31;O34}=O22))=2,Q22*0.1,IF(SUMPRODUCT(--({O22;O25;O28;O31;O34}=O22))&gt;=3,P23*0.01,0))</f>
        <v>3.1</v>
      </c>
      <c r="S22" s="95" t="str">
        <f t="array" ref="S22">_xlfn.RANK.EQ(R22, {R22;R25;R28;R31;R34}) &amp; "位"</f>
        <v>1位</v>
      </c>
      <c r="T22" s="99"/>
    </row>
    <row r="23" ht="5.25" customHeight="1">
      <c r="A23" s="70"/>
      <c r="B23" s="100"/>
      <c r="C23" s="101"/>
      <c r="D23" s="102"/>
      <c r="E23" s="102"/>
      <c r="F23" s="103"/>
      <c r="G23" s="31"/>
      <c r="H23" s="104"/>
      <c r="I23" s="104"/>
      <c r="J23" s="104"/>
      <c r="K23" s="104"/>
      <c r="L23" s="107"/>
      <c r="M23" s="106"/>
      <c r="N23" s="70"/>
      <c r="O23" s="107"/>
      <c r="P23" s="108">
        <f>IFERROR(
  SUMPRODUCT(IFERROR(--(LEFT(H22:K22,FIND("-",H22:K22)-1)),0))
  /
  (SUMPRODUCT(IFERROR(--(LEFT(H22:K22,FIND("-",H22:K22)-1)),0)) + SUMPRODUCT(IFERROR(--(RIGHT(H22:K22,LEN(H22:K22)-FIND("-",H22:K22))),0)))
  , 0)</f>
        <v>0.6176470588</v>
      </c>
      <c r="Q23" s="106"/>
      <c r="R23" s="106"/>
      <c r="S23" s="106"/>
      <c r="T23" s="99"/>
    </row>
    <row r="24" ht="18.75" customHeight="1">
      <c r="A24" s="70"/>
      <c r="B24" s="109"/>
      <c r="C24" s="110" t="str">
        <f>IFERROR(VLOOKUP(B22&amp;"-"&amp;2,'リスト'!$B:$D,2,FALSE),"")</f>
        <v>楠瀬 翔子</v>
      </c>
      <c r="D24" s="24"/>
      <c r="E24" s="24"/>
      <c r="F24" s="111" t="str">
        <f>IFERROR(VLOOKUP(B22&amp;"-"&amp;2,'リスト'!$B:$D,3,FALSE),"")</f>
        <v>アポロＴＣ</v>
      </c>
      <c r="G24" s="25"/>
      <c r="H24" s="112"/>
      <c r="I24" s="112"/>
      <c r="J24" s="112"/>
      <c r="K24" s="112"/>
      <c r="L24" s="115"/>
      <c r="M24" s="114"/>
      <c r="N24" s="70"/>
      <c r="O24" s="115"/>
      <c r="P24" s="114"/>
      <c r="Q24" s="114"/>
      <c r="R24" s="114"/>
      <c r="S24" s="114"/>
      <c r="T24" s="99"/>
    </row>
    <row r="25" ht="22.5" customHeight="1">
      <c r="A25" s="70"/>
      <c r="B25" s="161">
        <v>51.0</v>
      </c>
      <c r="C25" s="89" t="str">
        <f>IFERROR(VLOOKUP(B25&amp;"-"&amp;1,'リスト'!$B:$D,2,FALSE),"")</f>
        <v>橋本 義斉</v>
      </c>
      <c r="F25" s="90" t="str">
        <f>IFERROR(VLOOKUP(B25&amp;"-"&amp;1,'リスト'!$B:$D,3,FALSE),"")</f>
        <v>Drop☆Shot</v>
      </c>
      <c r="G25" s="117" t="str">
        <f>IFERROR(MID(H22, FIND("-", H22) + 1, 100) &amp; "-" &amp; LEFT(H22, FIND("-", H22) - 1), "")</f>
        <v>2-6</v>
      </c>
      <c r="H25" s="118" t="str">
        <f>IFERROR(__xludf.DUMMYFUNCTION("SPARKLINE({1,0})"),"")</f>
        <v/>
      </c>
      <c r="I25" s="92" t="s">
        <v>346</v>
      </c>
      <c r="J25" s="92" t="s">
        <v>346</v>
      </c>
      <c r="K25" s="92" t="s">
        <v>356</v>
      </c>
      <c r="L25" s="121" t="str">
        <f>IFERROR(__xludf.DUMMYFUNCTION("SUMPRODUCT(--(REGEXMATCH(TO_TEXT(G25:K25), ""-"")), IFERROR(--(LEFT(G25:K25,FIND(""-"",G25:K25)-1)&gt;RIGHT(G25:K25,LEN(G25:K25)-FIND(""-"",G25:K25))),0)) &amp; ""-"" &amp; SUMPRODUCT(--(REGEXMATCH(TO_TEXT(G25:K25), ""-"")), IFERROR(--(LEFT(G25:K25,FIND(""-"",G25:K2"&amp;"5)-1)&lt;RIGHT(G25:K25,LEN(G25:K25)-FIND(""-"",G25:K25))),0))"),"3-1")</f>
        <v>3-1</v>
      </c>
      <c r="M25" s="95" t="str">
        <f>IF(COUNTA($G$22,$H$22,$H$25,$H$28,$H$31,$I$22,$I$25,$I$28,$I$31,$J$22,$J$25,$J$28,$J$31,$K$22,$K$25,$K$28,$K$31,$G$25,$G$28,$G$31,$G$34,$H$34,$I$34,$J$34,$K$34)=25,S25,"")</f>
        <v>2位</v>
      </c>
      <c r="N25" s="70"/>
      <c r="O25" s="96">
        <f>IFERROR(VALUE(LEFT(L25,FIND("-",L25)-1)),-1)</f>
        <v>3</v>
      </c>
      <c r="P25" s="97" t="str">
        <f>SUMPRODUCT(IFERROR(--(LEFT(G25:K25,FIND("-",G25:K25)-1)),0)) &amp; "/" &amp; (SUMPRODUCT(IFERROR(--(LEFT(G25:K25,FIND("-",G25:K25)-1)),0)) + SUMPRODUCT(IFERROR(--(RIGHT(G25:K25,LEN(G25:K25)-FIND("-",G25:K25))),0)))</f>
        <v>20/29</v>
      </c>
      <c r="Q25" s="95">
        <f t="array" ref="Q25">IF(SUMPRODUCT(--({O22;O25;O28;O31;O34}=O25))=2, IFERROR(IFS(O25=$O22,IF(VALUE(LEFT(H22,FIND("-",H22)-1))&lt;VALUE(RIGHT(H22,LEN(H22)-FIND("-",H22))),1,0),O25=$O28,IF(VALUE(LEFT(I25,FIND("-",I25)-1))&gt;VALUE(RIGHT(I25,LEN(I25)-FIND("-",I25))),1,0),O25=$O31,IF(VALUE(LEFT(J25,FIND("-",J25)-1))&gt;VALUE(RIGHT(J25,LEN(J25)-FIND("-",J25))),1,0),O25=$O34,IF(VALUE(LEFT(K25,FIND("-",K25)-1))&gt;VALUE(RIGHT(K25,LEN(K25)-FIND("-",K25))),1,0)),""),"")</f>
        <v>0</v>
      </c>
      <c r="R25" s="98">
        <f t="array" ref="R25">O25+IF(SUMPRODUCT(--({O22;O25;O28;O31;O34}=O25))=2,Q25*0.1,IF(SUMPRODUCT(--({O22;O25;O28;O31;O34}=O25))&gt;=3,P26*0.01,0))</f>
        <v>3</v>
      </c>
      <c r="S25" s="95" t="str">
        <f t="array" ref="S25">_xlfn.RANK.EQ(R25, {R22;R25;R28;R31;R34}) &amp; "位"</f>
        <v>2位</v>
      </c>
      <c r="T25" s="99"/>
    </row>
    <row r="26" ht="5.25" customHeight="1">
      <c r="A26" s="70"/>
      <c r="B26" s="100"/>
      <c r="C26" s="101"/>
      <c r="D26" s="102"/>
      <c r="E26" s="102"/>
      <c r="F26" s="103"/>
      <c r="G26" s="31"/>
      <c r="H26" s="104"/>
      <c r="I26" s="104"/>
      <c r="J26" s="104"/>
      <c r="K26" s="104"/>
      <c r="L26" s="107"/>
      <c r="M26" s="106"/>
      <c r="N26" s="70"/>
      <c r="O26" s="107"/>
      <c r="P26" s="108">
        <f>IFERROR(
  SUMPRODUCT(IFERROR(--(LEFT(G25:K25,FIND("-",G25:K25)-1)),0))
  /
  (SUMPRODUCT(IFERROR(--(LEFT(G25:K25,FIND("-",G25:K25)-1)),0)) + SUMPRODUCT(IFERROR(--(RIGHT(G25:K25,LEN(G25:K25)-FIND("-",G25:K25))),0)))
  , 0)</f>
        <v>0.6896551724</v>
      </c>
      <c r="Q26" s="106"/>
      <c r="R26" s="106"/>
      <c r="S26" s="106"/>
      <c r="T26" s="99"/>
    </row>
    <row r="27" ht="22.5" customHeight="1">
      <c r="A27" s="70"/>
      <c r="B27" s="109"/>
      <c r="C27" s="110" t="str">
        <f>IFERROR(VLOOKUP(B25&amp;"-"&amp;2,'リスト'!$B:$D,2,FALSE),"")</f>
        <v>今城 由美</v>
      </c>
      <c r="D27" s="24"/>
      <c r="E27" s="24"/>
      <c r="F27" s="111" t="str">
        <f>IFERROR(VLOOKUP(B25&amp;"-"&amp;2,'リスト'!$B:$D,3,FALSE),"")</f>
        <v>レイリー</v>
      </c>
      <c r="G27" s="25"/>
      <c r="H27" s="112"/>
      <c r="I27" s="112"/>
      <c r="J27" s="112"/>
      <c r="K27" s="112"/>
      <c r="L27" s="115"/>
      <c r="M27" s="114"/>
      <c r="N27" s="70"/>
      <c r="O27" s="115"/>
      <c r="P27" s="114"/>
      <c r="Q27" s="114"/>
      <c r="R27" s="114"/>
      <c r="S27" s="114"/>
      <c r="T27" s="99"/>
    </row>
    <row r="28" ht="22.5" customHeight="1">
      <c r="A28" s="70"/>
      <c r="B28" s="159">
        <v>52.0</v>
      </c>
      <c r="C28" s="89" t="str">
        <f>IFERROR(VLOOKUP(B28&amp;"-"&amp;1,'リスト'!$B:$D,2,FALSE),"")</f>
        <v>井嶋 昭二</v>
      </c>
      <c r="F28" s="153" t="str">
        <f>IFERROR(VLOOKUP(B28&amp;"-"&amp;1,'リスト'!$B:$D,3,FALSE),"")</f>
        <v>RedHotChiliPeppers</v>
      </c>
      <c r="G28" s="117" t="str">
        <f>IFERROR(MID(I22, FIND("-", I22) + 1, 100) &amp; "-" &amp; LEFT(I22, FIND("-", I22) - 1), "")</f>
        <v>6-3</v>
      </c>
      <c r="H28" s="117" t="str">
        <f>IFERROR(MID(I25, FIND("-", I25) + 1, 100) &amp; "-" &amp; LEFT(I25, FIND("-", I25) - 1), "")</f>
        <v>0-6</v>
      </c>
      <c r="I28" s="118" t="str">
        <f>IFERROR(__xludf.DUMMYFUNCTION("SPARKLINE({1,0})"),"")</f>
        <v/>
      </c>
      <c r="J28" s="92" t="s">
        <v>354</v>
      </c>
      <c r="K28" s="92" t="s">
        <v>346</v>
      </c>
      <c r="L28" s="121" t="str">
        <f>IFERROR(__xludf.DUMMYFUNCTION("SUMPRODUCT(--(REGEXMATCH(TO_TEXT(G28:K28), ""-"")), IFERROR(--(LEFT(G28:K28,FIND(""-"",G28:K28)-1)&gt;RIGHT(G28:K28,LEN(G28:K28)-FIND(""-"",G28:K28))),0)) &amp; ""-"" &amp; SUMPRODUCT(--(REGEXMATCH(TO_TEXT(G28:K28), ""-"")), IFERROR(--(LEFT(G28:K28,FIND(""-"",G28:K2"&amp;"8)-1)&lt;RIGHT(G28:K28,LEN(G28:K28)-FIND(""-"",G28:K28))),0))"),"2-2")</f>
        <v>2-2</v>
      </c>
      <c r="M28" s="95" t="str">
        <f>IF(COUNTA($G$22,$H$22,$H$25,$H$28,$H$31,$I$22,$I$25,$I$28,$I$31,$J$22,$J$25,$J$28,$J$31,$K$22,$K$25,$K$28,$K$31,$G$25,$G$28,$G$31,$G$34,$H$34,$I$34,$J$34,$K$34)=25,S28,"")</f>
        <v>3位</v>
      </c>
      <c r="N28" s="70"/>
      <c r="O28" s="96">
        <f>IFERROR(VALUE(LEFT(L28,FIND("-",L28)-1)),-1)</f>
        <v>2</v>
      </c>
      <c r="P28" s="97" t="str">
        <f>SUMPRODUCT(IFERROR(--(LEFT(G28:K28,FIND("-",G28:K28)-1)),0)) &amp; "/" &amp; (SUMPRODUCT(IFERROR(--(LEFT(G28:K28,FIND("-",G28:K28)-1)),0)) + SUMPRODUCT(IFERROR(--(RIGHT(G28:K28,LEN(G28:K28)-FIND("-",G28:K28))),0)))</f>
        <v>15/30</v>
      </c>
      <c r="Q28" s="95" t="str">
        <f t="array" ref="Q28">IF(SUMPRODUCT(--({O22;O25;O28;O31;O34}=O28))=2, IFERROR(IFS(O28=$O22,IF(VALUE(LEFT(I22,FIND("-",I22)-1))&lt;VALUE(RIGHT(I22,LEN(I22)-FIND("-",I22))),1,0),O28=$O25,IF(VALUE(LEFT(I25,FIND("-",I25)-1))&lt;VALUE(RIGHT(I25,LEN(I25)-FIND("-",I25))),1,0),O28=$O31,IF(VALUE(LEFT(J28,FIND("-",J28)-1))&gt;VALUE(RIGHT(J28,LEN(J28)-FIND("-",J28))),1,0),O28=$O34,IF(VALUE(LEFT(K28,FIND("-",K28)-1))&gt;VALUE(RIGHT(K28,LEN(K28)-FIND("-",K28))),1,0)),""),"")</f>
        <v/>
      </c>
      <c r="R28" s="98">
        <f t="array" ref="R28">O28+IF(SUMPRODUCT(--({O22;O25;O28;O31;O34}=O28))=2,Q28*0.1,IF(SUMPRODUCT(--({O22;O25;O28;O31;O34}=O28))&gt;=3,P29*0.01,0))</f>
        <v>2</v>
      </c>
      <c r="S28" s="95" t="str">
        <f t="array" ref="S28">_xlfn.RANK.EQ(R28, {R22;R25;R28;R31;R34}) &amp; "位"</f>
        <v>3位</v>
      </c>
      <c r="T28" s="99"/>
    </row>
    <row r="29" ht="5.25" customHeight="1">
      <c r="A29" s="70"/>
      <c r="B29" s="100"/>
      <c r="C29" s="101"/>
      <c r="D29" s="102"/>
      <c r="E29" s="102"/>
      <c r="F29" s="103"/>
      <c r="G29" s="31"/>
      <c r="H29" s="31"/>
      <c r="I29" s="104"/>
      <c r="J29" s="104"/>
      <c r="K29" s="104"/>
      <c r="L29" s="107"/>
      <c r="M29" s="106"/>
      <c r="N29" s="70"/>
      <c r="O29" s="107"/>
      <c r="P29" s="108">
        <f>IFERROR(
  SUMPRODUCT(IFERROR(--(LEFT(G28:K28,FIND("-",G28:K28)-1)),0))
  /
  (SUMPRODUCT(IFERROR(--(LEFT(G28:K28,FIND("-",G28:K28)-1)),0)) + SUMPRODUCT(IFERROR(--(RIGHT(G28:K28,LEN(G28:K28)-FIND("-",G28:K28))),0)))
  , 0)</f>
        <v>0.5</v>
      </c>
      <c r="Q29" s="106"/>
      <c r="R29" s="106"/>
      <c r="S29" s="106"/>
      <c r="T29" s="99"/>
    </row>
    <row r="30" ht="22.5" customHeight="1">
      <c r="A30" s="70"/>
      <c r="B30" s="109"/>
      <c r="C30" s="110" t="str">
        <f>IFERROR(VLOOKUP(B28&amp;"-"&amp;2,'リスト'!$B:$D,2,FALSE),"")</f>
        <v>高木 美穂</v>
      </c>
      <c r="D30" s="24"/>
      <c r="E30" s="24"/>
      <c r="F30" s="111" t="str">
        <f>IFERROR(VLOOKUP(B28&amp;"-"&amp;2,'リスト'!$B:$D,3,FALSE),"")</f>
        <v>ラフ</v>
      </c>
      <c r="G30" s="25"/>
      <c r="H30" s="25"/>
      <c r="I30" s="112"/>
      <c r="J30" s="112"/>
      <c r="K30" s="112"/>
      <c r="L30" s="115"/>
      <c r="M30" s="114"/>
      <c r="N30" s="70"/>
      <c r="O30" s="115"/>
      <c r="P30" s="114"/>
      <c r="Q30" s="114"/>
      <c r="R30" s="114"/>
      <c r="S30" s="114"/>
      <c r="T30" s="99"/>
    </row>
    <row r="31" ht="22.5" customHeight="1">
      <c r="A31" s="70"/>
      <c r="B31" s="161">
        <v>53.0</v>
      </c>
      <c r="C31" s="89" t="str">
        <f>IFERROR(VLOOKUP(B31&amp;"-"&amp;1,'リスト'!$B:$D,2,FALSE),"")</f>
        <v>吉田 拳士</v>
      </c>
      <c r="F31" s="90" t="str">
        <f>IFERROR(VLOOKUP(B31&amp;"-"&amp;1,'リスト'!$B:$D,3,FALSE),"")</f>
        <v>サニーテニス</v>
      </c>
      <c r="G31" s="119" t="str">
        <f>IFERROR(MID(J22, FIND("-", J22) + 1, 100) &amp; "-" &amp; LEFT(J22, FIND("-", J22) - 1), "")</f>
        <v>1-6</v>
      </c>
      <c r="H31" s="117" t="str">
        <f>IFERROR(MID(J25, FIND("-", J25) + 1, 100) &amp; "-" &amp; LEFT(J25, FIND("-", J25) - 1), "")</f>
        <v>0-6</v>
      </c>
      <c r="I31" s="117" t="str">
        <f>IFERROR(MID(J28, FIND("-", J28) + 1, 100) &amp; "-" &amp; LEFT(J28, FIND("-", J28) - 1), "")</f>
        <v>6-3</v>
      </c>
      <c r="J31" s="120" t="str">
        <f>IFERROR(__xludf.DUMMYFUNCTION("SPARKLINE({1,0})"),"")</f>
        <v/>
      </c>
      <c r="K31" s="92" t="s">
        <v>353</v>
      </c>
      <c r="L31" s="121" t="str">
        <f>IFERROR(__xludf.DUMMYFUNCTION("SUMPRODUCT(--(REGEXMATCH(TO_TEXT(G31:K31), ""-"")), IFERROR(--(LEFT(G31:K31,FIND(""-"",G31:K31)-1)&gt;RIGHT(G31:K31,LEN(G31:K31)-FIND(""-"",G31:K31))),0)) &amp; ""-"" &amp; SUMPRODUCT(--(REGEXMATCH(TO_TEXT(G31:K31), ""-"")), IFERROR(--(LEFT(G31:K31,FIND(""-"",G31:K3"&amp;"1)-1)&lt;RIGHT(G31:K31,LEN(G31:K31)-FIND(""-"",G31:K31))),0))"),"1-3")</f>
        <v>1-3</v>
      </c>
      <c r="M31" s="95" t="str">
        <f>IF(COUNTA($G$22,$H$22,$H$25,$H$28,$H$31,$I$22,$I$25,$I$28,$I$31,$J$22,$J$25,$J$28,$J$31,$K$22,$K$25,$K$28,$K$31,$G$25,$G$28,$G$31,$G$34,$H$34,$I$34,$J$34,$K$34)=25,S31,"")</f>
        <v>5位</v>
      </c>
      <c r="N31" s="70"/>
      <c r="O31" s="96">
        <f>IFERROR(VALUE(LEFT(L31,FIND("-",L31)-1)),-1)</f>
        <v>1</v>
      </c>
      <c r="P31" s="97" t="str">
        <f>SUMPRODUCT(IFERROR(--(LEFT(G31:K31,FIND("-",G31:K31)-1)),0)) &amp; "/" &amp; (SUMPRODUCT(IFERROR(--(LEFT(G31:K31,FIND("-",G31:K31)-1)),0)) + SUMPRODUCT(IFERROR(--(RIGHT(G31:K31,LEN(G31:K31)-FIND("-",G31:K31))),0)))</f>
        <v>8/29</v>
      </c>
      <c r="Q31" s="95">
        <f t="array" ref="Q31">IF(SUMPRODUCT(--({O22;O25;O28;O31;O34}=O31))=2, IFERROR(IFS(O31=$O22,IF(VALUE(LEFT(J22,FIND("-",J22)-1))&lt;VALUE(RIGHT(J22,LEN(J22)-FIND("-",J22))),1,0),O31=$O25,IF(VALUE(LEFT(J25,FIND("-",J25)-1))&lt;VALUE(RIGHT(J25,LEN(J25)-FIND("-",J25))),1,0),O31=$O28,IF(VALUE(LEFT(J28,FIND("-",J28)-1))&lt;VALUE(RIGHT(J28,LEN(J28)-FIND("-",J28))),1,0),O31=$O34,IF(VALUE(LEFT(K31,FIND("-",K31)-1))&gt;VALUE(RIGHT(K31,LEN(K31)-FIND("-",K31))),1,0)),""),"")</f>
        <v>0</v>
      </c>
      <c r="R31" s="98">
        <f t="array" ref="R31">O31+IF(SUMPRODUCT(--({O22;O25;O28;O31;O34}=O31))=2,Q31*0.1,IF(SUMPRODUCT(--({O22;O25;O28;O31;O34}=O31))&gt;=3,P32*0.01,0))</f>
        <v>1</v>
      </c>
      <c r="S31" s="95" t="str">
        <f t="array" ref="S31">_xlfn.RANK.EQ(R31, {R22;R25;R28;R31;R34}) &amp; "位"</f>
        <v>5位</v>
      </c>
      <c r="T31" s="99"/>
    </row>
    <row r="32" ht="5.25" customHeight="1">
      <c r="A32" s="70"/>
      <c r="B32" s="100"/>
      <c r="C32" s="101"/>
      <c r="D32" s="102"/>
      <c r="E32" s="102"/>
      <c r="F32" s="103"/>
      <c r="G32" s="31"/>
      <c r="H32" s="31"/>
      <c r="I32" s="31"/>
      <c r="J32" s="38"/>
      <c r="K32" s="104"/>
      <c r="L32" s="107"/>
      <c r="M32" s="106"/>
      <c r="N32" s="70"/>
      <c r="O32" s="107"/>
      <c r="P32" s="108">
        <f>IFERROR(
  SUMPRODUCT(IFERROR(--(LEFT(G31:K31,FIND("-",G31:K31)-1)),0))
  /
  (SUMPRODUCT(IFERROR(--(LEFT(G31:K31,FIND("-",G31:K31)-1)),0)) + SUMPRODUCT(IFERROR(--(RIGHT(G31:K31,LEN(G31:K31)-FIND("-",G31:K31))),0)))
  , 0)</f>
        <v>0.275862069</v>
      </c>
      <c r="Q32" s="106"/>
      <c r="R32" s="106"/>
      <c r="S32" s="106"/>
      <c r="T32" s="99"/>
    </row>
    <row r="33" ht="22.5" customHeight="1">
      <c r="A33" s="70"/>
      <c r="B33" s="109"/>
      <c r="C33" s="110" t="str">
        <f>IFERROR(VLOOKUP(B31&amp;"-"&amp;2,'リスト'!$B:$D,2,FALSE),"")</f>
        <v>吉田 由乃</v>
      </c>
      <c r="D33" s="24"/>
      <c r="E33" s="24"/>
      <c r="F33" s="111" t="str">
        <f>IFERROR(VLOOKUP(B31&amp;"-"&amp;2,'リスト'!$B:$D,3,FALSE),"")</f>
        <v>サニーテニス</v>
      </c>
      <c r="G33" s="25"/>
      <c r="H33" s="25"/>
      <c r="I33" s="25"/>
      <c r="J33" s="26"/>
      <c r="K33" s="112"/>
      <c r="L33" s="115"/>
      <c r="M33" s="114"/>
      <c r="N33" s="70"/>
      <c r="O33" s="115"/>
      <c r="P33" s="114"/>
      <c r="Q33" s="114"/>
      <c r="R33" s="114"/>
      <c r="S33" s="114"/>
      <c r="T33" s="99"/>
    </row>
    <row r="34" ht="22.5" customHeight="1">
      <c r="A34" s="70"/>
      <c r="B34" s="161">
        <v>54.0</v>
      </c>
      <c r="C34" s="89" t="str">
        <f>IFERROR(VLOOKUP(B34&amp;"-"&amp;1,'リスト'!$B:$D,2,FALSE),"")</f>
        <v>遠藤 絢弥</v>
      </c>
      <c r="F34" s="90" t="str">
        <f>IFERROR(VLOOKUP(B34&amp;"-"&amp;1,'リスト'!$B:$D,3,FALSE),"")</f>
        <v>フリー</v>
      </c>
      <c r="G34" s="119" t="str">
        <f>IFERROR(MID(K22, FIND("-", K22) + 1, 100) &amp; "-" &amp; LEFT(K22, FIND("-", K22) - 1), "")</f>
        <v>4-6</v>
      </c>
      <c r="H34" s="119" t="str">
        <f>IFERROR(MID(K25, FIND("-", K25) + 1, 100) &amp; "-" &amp; LEFT(K25, FIND("-", K25) - 1), "")</f>
        <v>3-6</v>
      </c>
      <c r="I34" s="117" t="str">
        <f>IFERROR(MID(K28, FIND("-", K28) + 1, 100) &amp; "-" &amp; LEFT(K28, FIND("-", K28) - 1), "")</f>
        <v>0-6</v>
      </c>
      <c r="J34" s="117" t="str">
        <f>IFERROR(MID(K31, FIND("-", K31) + 1, 100) &amp; "-" &amp; LEFT(K31, FIND("-", K31) - 1), "")</f>
        <v>6-1</v>
      </c>
      <c r="K34" s="120" t="str">
        <f>IFERROR(__xludf.DUMMYFUNCTION("SPARKLINE({1,0})"),"")</f>
        <v/>
      </c>
      <c r="L34" s="121" t="str">
        <f>IFERROR(__xludf.DUMMYFUNCTION("SUMPRODUCT(--(REGEXMATCH(TO_TEXT(G34:K34), ""-"")), IFERROR(--(LEFT(G34:K34,FIND(""-"",G34:K34)-1)&gt;RIGHT(G34:K34,LEN(G34:K34)-FIND(""-"",G34:K34))),0)) &amp; ""-"" &amp; SUMPRODUCT(--(REGEXMATCH(TO_TEXT(G34:K34), ""-"")), IFERROR(--(LEFT(G34:K34,FIND(""-"",G34:K3"&amp;"4)-1)&lt;RIGHT(G34:K34,LEN(G34:K34)-FIND(""-"",G34:K34))),0))"),"1-3")</f>
        <v>1-3</v>
      </c>
      <c r="M34" s="95" t="str">
        <f>IF(COUNTA($G$22,$H$22,$H$25,$H$28,$H$31,$I$22,$I$25,$I$28,$I$31,$J$22,$J$25,$J$28,$J$31,$K$22,$K$25,$K$28,$K$31,$G$25,$G$28,$G$31,$G$34,$H$34,$I$34,$J$34,$K$34)=25,S34,"")</f>
        <v>4位</v>
      </c>
      <c r="N34" s="70"/>
      <c r="O34" s="96">
        <f>IFERROR(VALUE(LEFT(L34,FIND("-",L34)-1)),-1)</f>
        <v>1</v>
      </c>
      <c r="P34" s="97" t="str">
        <f>SUMPRODUCT(IFERROR(--(LEFT(G34:K34,FIND("-",G34:K34)-1)),0)) &amp; "/" &amp; (SUMPRODUCT(IFERROR(--(LEFT(G34:K34,FIND("-",G34:K34)-1)),0)) + SUMPRODUCT(IFERROR(--(RIGHT(G34:K34,LEN(G34:K34)-FIND("-",G34:K34))),0)))</f>
        <v>13/32</v>
      </c>
      <c r="Q34" s="95">
        <f t="array" ref="Q34">IF(SUMPRODUCT(--({O22;O25;O28;O31;O34}=O34))=2, IFERROR(IFS(O34=$O22,IF(VALUE(LEFT(K22,FIND("-",K22)-1))&lt;VALUE(RIGHT(K22,LEN(K22)-FIND("-",K22))),1,0),O34=$O25,IF(VALUE(LEFT(K25,FIND("-",K25)-1))&lt;VALUE(RIGHT(K25,LEN(K25)-FIND("-",K25))),1,0),O34=$O28,IF(VALUE(LEFT(K28,FIND("-",K28)-1))&lt;VALUE(RIGHT(K28,LEN(K28)-FIND("-",K28))),1,0),O34=$O31,IF(VALUE(LEFT(K31,FIND("-",K31)-1))&lt;VALUE(RIGHT(K31,LEN(K31)-FIND("-",K31))),1,0)),""),"")</f>
        <v>1</v>
      </c>
      <c r="R34" s="98">
        <f t="array" ref="R34">O34+IF(SUMPRODUCT(--({O22;O25;O28;O31;O34}=O34))=2,Q34*0.1,IF(SUMPRODUCT(--({O22;O25;O28;O31;O34}=O34))&gt;=3,P35*0.01,0))</f>
        <v>1.1</v>
      </c>
      <c r="S34" s="95" t="str">
        <f t="array" ref="S34">_xlfn.RANK.EQ(R34, {R22;R25;R28;R31;R34}) &amp; "位"</f>
        <v>4位</v>
      </c>
      <c r="T34" s="99"/>
    </row>
    <row r="35" ht="5.25" customHeight="1">
      <c r="A35" s="70"/>
      <c r="B35" s="100"/>
      <c r="C35" s="101"/>
      <c r="D35" s="102"/>
      <c r="E35" s="102"/>
      <c r="F35" s="103"/>
      <c r="G35" s="31"/>
      <c r="H35" s="31"/>
      <c r="I35" s="31"/>
      <c r="J35" s="31"/>
      <c r="K35" s="38"/>
      <c r="L35" s="107"/>
      <c r="M35" s="106"/>
      <c r="N35" s="70"/>
      <c r="O35" s="107"/>
      <c r="P35" s="108">
        <f>IFERROR(
  SUMPRODUCT(IFERROR(--(LEFT(G34:K34,FIND("-",G34:K34)-1)),0))
  /
  (SUMPRODUCT(IFERROR(--(LEFT(G34:K34,FIND("-",G34:K34)-1)),0)) + SUMPRODUCT(IFERROR(--(RIGHT(G34:K34,LEN(G34:K34)-FIND("-",G34:K34))),0)))
  , 0)</f>
        <v>0.40625</v>
      </c>
      <c r="Q35" s="106"/>
      <c r="R35" s="106"/>
      <c r="S35" s="106"/>
      <c r="T35" s="99"/>
    </row>
    <row r="36" ht="22.5" customHeight="1">
      <c r="A36" s="70"/>
      <c r="B36" s="122"/>
      <c r="C36" s="123" t="str">
        <f>IFERROR(VLOOKUP(B34&amp;"-"&amp;2,'リスト'!$B:$D,2,FALSE),"")</f>
        <v>遠藤 夏希</v>
      </c>
      <c r="D36" s="124"/>
      <c r="E36" s="124"/>
      <c r="F36" s="125" t="str">
        <f>IFERROR(VLOOKUP(B34&amp;"-"&amp;2,'リスト'!$B:$D,3,FALSE),"")</f>
        <v>湖山池ＴＣ</v>
      </c>
      <c r="G36" s="126"/>
      <c r="H36" s="126"/>
      <c r="I36" s="126"/>
      <c r="J36" s="126"/>
      <c r="K36" s="127"/>
      <c r="L36" s="128"/>
      <c r="M36" s="162"/>
      <c r="N36" s="70"/>
      <c r="O36" s="128"/>
      <c r="P36" s="129"/>
      <c r="Q36" s="129"/>
      <c r="R36" s="129"/>
      <c r="S36" s="129"/>
      <c r="T36" s="99"/>
    </row>
    <row r="37" ht="22.5" customHeight="1">
      <c r="A37" s="70"/>
      <c r="B37" s="163"/>
      <c r="C37" s="164"/>
      <c r="D37" s="164"/>
      <c r="E37" s="164"/>
      <c r="F37" s="165"/>
      <c r="G37" s="166"/>
      <c r="H37" s="166"/>
      <c r="I37" s="167"/>
      <c r="J37" s="167"/>
      <c r="K37" s="168"/>
      <c r="L37" s="169"/>
      <c r="M37" s="99"/>
      <c r="N37" s="70"/>
      <c r="O37" s="99"/>
      <c r="P37" s="170"/>
      <c r="Q37" s="99"/>
      <c r="R37" s="171"/>
      <c r="S37" s="99"/>
      <c r="T37" s="99"/>
    </row>
  </sheetData>
  <mergeCells count="156">
    <mergeCell ref="I4:I6"/>
    <mergeCell ref="J4:J6"/>
    <mergeCell ref="K4:K6"/>
    <mergeCell ref="L4:L6"/>
    <mergeCell ref="O4:O6"/>
    <mergeCell ref="Q4:Q6"/>
    <mergeCell ref="R4:R6"/>
    <mergeCell ref="S4:S6"/>
    <mergeCell ref="P5:P6"/>
    <mergeCell ref="B2:C2"/>
    <mergeCell ref="J2:M2"/>
    <mergeCell ref="B3:F3"/>
    <mergeCell ref="B4:B6"/>
    <mergeCell ref="G4:G6"/>
    <mergeCell ref="H4:H6"/>
    <mergeCell ref="M4:M6"/>
    <mergeCell ref="Q7:Q9"/>
    <mergeCell ref="P8:P9"/>
    <mergeCell ref="J7:J9"/>
    <mergeCell ref="K7:K9"/>
    <mergeCell ref="L7:L9"/>
    <mergeCell ref="M7:M9"/>
    <mergeCell ref="O7:O9"/>
    <mergeCell ref="R7:R9"/>
    <mergeCell ref="S7:S9"/>
    <mergeCell ref="B7:B9"/>
    <mergeCell ref="B10:B12"/>
    <mergeCell ref="M10:M12"/>
    <mergeCell ref="O10:O12"/>
    <mergeCell ref="Q10:Q12"/>
    <mergeCell ref="R10:R12"/>
    <mergeCell ref="S10:S12"/>
    <mergeCell ref="P11:P12"/>
    <mergeCell ref="Q22:Q24"/>
    <mergeCell ref="R22:R24"/>
    <mergeCell ref="H22:H24"/>
    <mergeCell ref="I22:I24"/>
    <mergeCell ref="J22:J24"/>
    <mergeCell ref="K22:K24"/>
    <mergeCell ref="L22:L24"/>
    <mergeCell ref="M22:M24"/>
    <mergeCell ref="O22:O24"/>
    <mergeCell ref="P23:P24"/>
    <mergeCell ref="B22:B24"/>
    <mergeCell ref="B25:B27"/>
    <mergeCell ref="B28:B30"/>
    <mergeCell ref="B31:B33"/>
    <mergeCell ref="B34:B36"/>
    <mergeCell ref="B13:B15"/>
    <mergeCell ref="B16:B18"/>
    <mergeCell ref="B20:C20"/>
    <mergeCell ref="B21:F21"/>
    <mergeCell ref="C22:E22"/>
    <mergeCell ref="C24:E24"/>
    <mergeCell ref="C25:E25"/>
    <mergeCell ref="L28:L30"/>
    <mergeCell ref="M28:M30"/>
    <mergeCell ref="O28:O30"/>
    <mergeCell ref="Q28:Q30"/>
    <mergeCell ref="R28:R30"/>
    <mergeCell ref="S28:S30"/>
    <mergeCell ref="P29:P30"/>
    <mergeCell ref="C27:E27"/>
    <mergeCell ref="C28:E28"/>
    <mergeCell ref="G28:G30"/>
    <mergeCell ref="H28:H30"/>
    <mergeCell ref="I28:I30"/>
    <mergeCell ref="J28:J30"/>
    <mergeCell ref="K28:K30"/>
    <mergeCell ref="L31:L33"/>
    <mergeCell ref="M31:M33"/>
    <mergeCell ref="O31:O33"/>
    <mergeCell ref="Q31:Q33"/>
    <mergeCell ref="R31:R33"/>
    <mergeCell ref="S31:S33"/>
    <mergeCell ref="P32:P33"/>
    <mergeCell ref="C30:E30"/>
    <mergeCell ref="C31:E31"/>
    <mergeCell ref="G31:G33"/>
    <mergeCell ref="H31:H33"/>
    <mergeCell ref="I31:I33"/>
    <mergeCell ref="J31:J33"/>
    <mergeCell ref="K31:K33"/>
    <mergeCell ref="L34:L36"/>
    <mergeCell ref="M34:M36"/>
    <mergeCell ref="O34:O36"/>
    <mergeCell ref="Q34:Q36"/>
    <mergeCell ref="R34:R36"/>
    <mergeCell ref="S34:S36"/>
    <mergeCell ref="P35:P36"/>
    <mergeCell ref="C33:E33"/>
    <mergeCell ref="C34:E34"/>
    <mergeCell ref="G34:G36"/>
    <mergeCell ref="H34:H36"/>
    <mergeCell ref="I34:I36"/>
    <mergeCell ref="J34:J36"/>
    <mergeCell ref="K34:K36"/>
    <mergeCell ref="C36:E36"/>
    <mergeCell ref="G7:G9"/>
    <mergeCell ref="G10:G12"/>
    <mergeCell ref="H10:H12"/>
    <mergeCell ref="I10:I12"/>
    <mergeCell ref="J10:J12"/>
    <mergeCell ref="K10:K12"/>
    <mergeCell ref="L10:L12"/>
    <mergeCell ref="C4:E4"/>
    <mergeCell ref="C6:E6"/>
    <mergeCell ref="C7:E7"/>
    <mergeCell ref="H7:H9"/>
    <mergeCell ref="I7:I9"/>
    <mergeCell ref="C9:E9"/>
    <mergeCell ref="C10:E10"/>
    <mergeCell ref="K13:K15"/>
    <mergeCell ref="L13:L15"/>
    <mergeCell ref="M13:M15"/>
    <mergeCell ref="O13:O15"/>
    <mergeCell ref="Q13:Q15"/>
    <mergeCell ref="R13:R15"/>
    <mergeCell ref="S13:S15"/>
    <mergeCell ref="P14:P15"/>
    <mergeCell ref="C12:E12"/>
    <mergeCell ref="C13:E13"/>
    <mergeCell ref="H13:H15"/>
    <mergeCell ref="I13:I15"/>
    <mergeCell ref="J13:J15"/>
    <mergeCell ref="C15:E15"/>
    <mergeCell ref="C16:E16"/>
    <mergeCell ref="C18:E18"/>
    <mergeCell ref="M16:M18"/>
    <mergeCell ref="O16:O18"/>
    <mergeCell ref="Q16:Q18"/>
    <mergeCell ref="R16:R18"/>
    <mergeCell ref="S16:S18"/>
    <mergeCell ref="P17:P18"/>
    <mergeCell ref="S22:S24"/>
    <mergeCell ref="G13:G15"/>
    <mergeCell ref="G16:G18"/>
    <mergeCell ref="H16:H18"/>
    <mergeCell ref="I16:I18"/>
    <mergeCell ref="J16:J18"/>
    <mergeCell ref="K16:K18"/>
    <mergeCell ref="L16:L18"/>
    <mergeCell ref="J20:M20"/>
    <mergeCell ref="M25:M27"/>
    <mergeCell ref="O25:O27"/>
    <mergeCell ref="Q25:Q27"/>
    <mergeCell ref="R25:R27"/>
    <mergeCell ref="S25:S27"/>
    <mergeCell ref="P26:P27"/>
    <mergeCell ref="G22:G24"/>
    <mergeCell ref="G25:G27"/>
    <mergeCell ref="H25:H27"/>
    <mergeCell ref="I25:I27"/>
    <mergeCell ref="J25:J27"/>
    <mergeCell ref="K25:K27"/>
    <mergeCell ref="L25:L2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11.14"/>
    <col customWidth="1" min="3" max="3" width="8.14"/>
    <col customWidth="1" min="4" max="4" width="12.43"/>
    <col customWidth="1" min="6" max="6" width="8.14"/>
    <col customWidth="1" min="9" max="9" width="6.0"/>
    <col customWidth="1" min="10" max="10" width="6.43"/>
    <col customWidth="1" min="11" max="12" width="9.43"/>
  </cols>
  <sheetData>
    <row r="1">
      <c r="A1" s="172" t="s">
        <v>357</v>
      </c>
      <c r="C1" s="173" t="s">
        <v>199</v>
      </c>
      <c r="D1" s="172"/>
      <c r="E1" s="172"/>
      <c r="F1" s="173" t="s">
        <v>209</v>
      </c>
      <c r="G1" s="172"/>
      <c r="H1" s="172"/>
      <c r="I1" s="172" t="s">
        <v>358</v>
      </c>
      <c r="L1" s="174" t="s">
        <v>359</v>
      </c>
    </row>
    <row r="2">
      <c r="A2" s="172" t="s">
        <v>360</v>
      </c>
      <c r="B2" s="172" t="s">
        <v>361</v>
      </c>
      <c r="C2" s="175" t="s">
        <v>194</v>
      </c>
      <c r="D2" s="172" t="s">
        <v>195</v>
      </c>
      <c r="F2" s="175" t="s">
        <v>194</v>
      </c>
      <c r="G2" s="172" t="s">
        <v>195</v>
      </c>
      <c r="I2" s="172" t="s">
        <v>199</v>
      </c>
      <c r="J2" s="172" t="s">
        <v>209</v>
      </c>
      <c r="K2" s="176" t="s">
        <v>362</v>
      </c>
      <c r="L2" s="174" t="b">
        <v>0</v>
      </c>
    </row>
    <row r="3">
      <c r="A3" s="177" t="str">
        <f>'順位別トーナメント'!$B$2</f>
        <v>1位トーナメント</v>
      </c>
      <c r="B3" s="178" t="s">
        <v>363</v>
      </c>
      <c r="C3" s="179">
        <f>'順位別トーナメント'!B6</f>
        <v>5</v>
      </c>
      <c r="D3" s="177" t="str">
        <f>IFERROR(VLOOKUP(C3&amp;"-"&amp;1,'リスト'!$B:$D,2,FALSE),"")</f>
        <v>常村 和仁</v>
      </c>
      <c r="E3" s="177" t="str">
        <f>IFERROR(VLOOKUP(C3&amp;"-"&amp;2,'リスト'!$B:$D,2,FALSE),"")</f>
        <v>前田 良枝</v>
      </c>
      <c r="F3" s="180">
        <f>'順位別トーナメント'!B8</f>
        <v>9</v>
      </c>
      <c r="G3" s="177" t="str">
        <f>IFERROR(VLOOKUP(F3&amp;"-"&amp;1,'リスト'!$B:$D,2,FALSE),"")</f>
        <v>近藤 哲生</v>
      </c>
      <c r="H3" s="177" t="str">
        <f>IFERROR(VLOOKUP(F3&amp;"-"&amp;2,'リスト'!$B:$D,2,FALSE),"")</f>
        <v>前田 陽子</v>
      </c>
      <c r="I3" s="178">
        <v>6.0</v>
      </c>
      <c r="J3" s="178">
        <v>3.0</v>
      </c>
      <c r="K3" s="177"/>
      <c r="L3" s="181" t="b">
        <v>0</v>
      </c>
    </row>
    <row r="4">
      <c r="A4" s="177" t="str">
        <f>'順位別トーナメント'!$B$2</f>
        <v>1位トーナメント</v>
      </c>
      <c r="B4" s="178" t="s">
        <v>363</v>
      </c>
      <c r="C4" s="179">
        <f>'順位別トーナメント'!B10</f>
        <v>13</v>
      </c>
      <c r="D4" s="177" t="str">
        <f>IFERROR(VLOOKUP(C4&amp;"-"&amp;1,'リスト'!$B:$D,2,FALSE),"")</f>
        <v>小谷 桂介</v>
      </c>
      <c r="E4" s="177" t="str">
        <f>IFERROR(VLOOKUP(C4&amp;"-"&amp;2,'リスト'!$B:$D,2,FALSE),"")</f>
        <v>小谷 佐知子</v>
      </c>
      <c r="F4" s="179">
        <f>'順位別トーナメント'!B12</f>
        <v>17</v>
      </c>
      <c r="G4" s="177" t="str">
        <f>IFERROR(VLOOKUP(F4&amp;"-"&amp;1,'リスト'!$B:$D,2,FALSE),"")</f>
        <v>谷本 卓也</v>
      </c>
      <c r="H4" s="177" t="str">
        <f>IFERROR(VLOOKUP(F4&amp;"-"&amp;2,'リスト'!$B:$D,2,FALSE),"")</f>
        <v>谷口 圭子</v>
      </c>
      <c r="I4" s="178">
        <v>3.0</v>
      </c>
      <c r="J4" s="178">
        <v>6.0</v>
      </c>
      <c r="K4" s="177"/>
      <c r="L4" s="181" t="b">
        <v>0</v>
      </c>
    </row>
    <row r="5">
      <c r="A5" s="177" t="str">
        <f>'順位別トーナメント'!$B$2</f>
        <v>1位トーナメント</v>
      </c>
      <c r="B5" s="178" t="s">
        <v>363</v>
      </c>
      <c r="C5" s="179">
        <f>'順位別トーナメント'!B14</f>
        <v>21</v>
      </c>
      <c r="D5" s="177" t="str">
        <f>IFERROR(VLOOKUP(C5&amp;"-"&amp;1,'リスト'!$B:$D,2,FALSE),"")</f>
        <v>杉野 隆志</v>
      </c>
      <c r="E5" s="177" t="str">
        <f>IFERROR(VLOOKUP(C5&amp;"-"&amp;2,'リスト'!$B:$D,2,FALSE),"")</f>
        <v>中村 公恵</v>
      </c>
      <c r="F5" s="179">
        <f>'順位別トーナメント'!B16</f>
        <v>25</v>
      </c>
      <c r="G5" s="177" t="str">
        <f>IFERROR(VLOOKUP(F5&amp;"-"&amp;1,'リスト'!$B:$D,2,FALSE),"")</f>
        <v>米村 琢巳</v>
      </c>
      <c r="H5" s="177" t="str">
        <f>IFERROR(VLOOKUP(F5&amp;"-"&amp;2,'リスト'!$B:$D,2,FALSE),"")</f>
        <v>佐藤 陽子</v>
      </c>
      <c r="I5" s="178">
        <v>3.0</v>
      </c>
      <c r="J5" s="178">
        <v>6.0</v>
      </c>
      <c r="K5" s="177"/>
      <c r="L5" s="181" t="b">
        <v>0</v>
      </c>
    </row>
    <row r="6">
      <c r="A6" s="177" t="str">
        <f>'順位別トーナメント'!$B$2</f>
        <v>1位トーナメント</v>
      </c>
      <c r="B6" s="178" t="s">
        <v>363</v>
      </c>
      <c r="C6" s="179">
        <f>'順位別トーナメント'!W6</f>
        <v>33</v>
      </c>
      <c r="D6" s="177" t="str">
        <f>IFERROR(VLOOKUP(C6&amp;"-"&amp;1,'リスト'!$B:$D,2,FALSE),"")</f>
        <v>山口 辰之</v>
      </c>
      <c r="E6" s="177" t="str">
        <f>IFERROR(VLOOKUP(C6&amp;"-"&amp;2,'リスト'!$B:$D,2,FALSE),"")</f>
        <v>宮本 真有</v>
      </c>
      <c r="F6" s="179">
        <f>'順位別トーナメント'!W8</f>
        <v>37</v>
      </c>
      <c r="G6" s="177" t="str">
        <f>IFERROR(VLOOKUP(F6&amp;"-"&amp;1,'リスト'!$B:$D,2,FALSE),"")</f>
        <v>細川 善貴</v>
      </c>
      <c r="H6" s="177" t="str">
        <f>IFERROR(VLOOKUP(F6&amp;"-"&amp;2,'リスト'!$B:$D,2,FALSE),"")</f>
        <v>厨子 沙也香</v>
      </c>
      <c r="I6" s="178">
        <v>4.0</v>
      </c>
      <c r="J6" s="178">
        <v>6.0</v>
      </c>
      <c r="K6" s="177"/>
      <c r="L6" s="181" t="b">
        <v>0</v>
      </c>
    </row>
    <row r="7">
      <c r="A7" s="177" t="str">
        <f>'順位別トーナメント'!$B$2</f>
        <v>1位トーナメント</v>
      </c>
      <c r="B7" s="178" t="s">
        <v>363</v>
      </c>
      <c r="C7" s="179">
        <f>'順位別トーナメント'!W10</f>
        <v>41</v>
      </c>
      <c r="D7" s="177" t="str">
        <f>IFERROR(VLOOKUP(C7&amp;"-"&amp;1,'リスト'!$B:$D,2,FALSE),"")</f>
        <v>丸川 康生</v>
      </c>
      <c r="E7" s="177" t="str">
        <f>IFERROR(VLOOKUP(C7&amp;"-"&amp;2,'リスト'!$B:$D,2,FALSE),"")</f>
        <v>山根 崇子</v>
      </c>
      <c r="F7" s="179">
        <f>'順位別トーナメント'!W12</f>
        <v>45</v>
      </c>
      <c r="G7" s="177" t="str">
        <f>IFERROR(VLOOKUP(F7&amp;"-"&amp;1,'リスト'!$B:$D,2,FALSE),"")</f>
        <v>小椋 浩二</v>
      </c>
      <c r="H7" s="177" t="str">
        <f>IFERROR(VLOOKUP(F7&amp;"-"&amp;2,'リスト'!$B:$D,2,FALSE),"")</f>
        <v>前田 美由紀</v>
      </c>
      <c r="I7" s="178">
        <v>4.0</v>
      </c>
      <c r="J7" s="178">
        <v>6.0</v>
      </c>
      <c r="K7" s="177"/>
      <c r="L7" s="181" t="b">
        <v>0</v>
      </c>
    </row>
    <row r="8">
      <c r="A8" s="177" t="str">
        <f>'順位別トーナメント'!$B$2</f>
        <v>1位トーナメント</v>
      </c>
      <c r="B8" s="178" t="s">
        <v>364</v>
      </c>
      <c r="C8" s="179">
        <f>'順位別トーナメント'!B4</f>
        <v>1</v>
      </c>
      <c r="D8" s="177" t="str">
        <f>IFERROR(VLOOKUP(C8&amp;"-"&amp;1,'リスト'!$B:$D,2,FALSE),"")</f>
        <v>藤田 智博</v>
      </c>
      <c r="E8" s="177" t="str">
        <f>IFERROR(VLOOKUP(C8&amp;"-"&amp;2,'リスト'!$B:$D,2,FALSE),"")</f>
        <v>山根 陽子</v>
      </c>
      <c r="F8" s="179">
        <f>IF(I3="","", IF(J3&gt;I3, F3, C3))</f>
        <v>5</v>
      </c>
      <c r="G8" s="177" t="str">
        <f>IFERROR(VLOOKUP(F8&amp;"-"&amp;1,'リスト'!$B:$D,2,FALSE),"")</f>
        <v>常村 和仁</v>
      </c>
      <c r="H8" s="177" t="str">
        <f>IFERROR(VLOOKUP(F8&amp;"-"&amp;2,'リスト'!$B:$D,2,FALSE),"")</f>
        <v>前田 良枝</v>
      </c>
      <c r="I8" s="178">
        <v>4.0</v>
      </c>
      <c r="J8" s="178">
        <v>6.0</v>
      </c>
      <c r="K8" s="177"/>
      <c r="L8" s="181" t="b">
        <v>0</v>
      </c>
    </row>
    <row r="9">
      <c r="A9" s="177" t="str">
        <f>'順位別トーナメント'!$B$2</f>
        <v>1位トーナメント</v>
      </c>
      <c r="B9" s="178" t="s">
        <v>364</v>
      </c>
      <c r="C9" s="179">
        <f>IF(I4="","", IF(J4&gt;I4, F4, C4))</f>
        <v>17</v>
      </c>
      <c r="D9" s="177" t="str">
        <f>IFERROR(VLOOKUP(C9&amp;"-"&amp;1,'リスト'!$B:$D,2,FALSE),"")</f>
        <v>谷本 卓也</v>
      </c>
      <c r="E9" s="177" t="str">
        <f>IFERROR(VLOOKUP(C9&amp;"-"&amp;2,'リスト'!$B:$D,2,FALSE),"")</f>
        <v>谷口 圭子</v>
      </c>
      <c r="F9" s="179">
        <f t="shared" ref="F9:F10" si="1">IF(J5&gt;I5, F5, C5)</f>
        <v>25</v>
      </c>
      <c r="G9" s="177" t="str">
        <f>IFERROR(VLOOKUP(F9&amp;"-"&amp;1,'リスト'!$B:$D,2,FALSE),"")</f>
        <v>米村 琢巳</v>
      </c>
      <c r="H9" s="177" t="str">
        <f>IFERROR(VLOOKUP(F9&amp;"-"&amp;2,'リスト'!$B:$D,2,FALSE),"")</f>
        <v>佐藤 陽子</v>
      </c>
      <c r="I9" s="178">
        <v>4.0</v>
      </c>
      <c r="J9" s="178">
        <v>6.0</v>
      </c>
      <c r="K9" s="177"/>
      <c r="L9" s="181" t="b">
        <v>0</v>
      </c>
    </row>
    <row r="10">
      <c r="A10" s="182" t="str">
        <f>'順位別トーナメント'!$B$2</f>
        <v>1位トーナメント</v>
      </c>
      <c r="B10" s="183" t="s">
        <v>364</v>
      </c>
      <c r="C10" s="184">
        <f>'順位別トーナメント'!W4</f>
        <v>29</v>
      </c>
      <c r="D10" s="182" t="str">
        <f>IFERROR(VLOOKUP(C10&amp;"-"&amp;1,'リスト'!$B:$D,2,FALSE),"")</f>
        <v>小川 拓</v>
      </c>
      <c r="E10" s="182" t="str">
        <f>IFERROR(VLOOKUP(C10&amp;"-"&amp;2,'リスト'!$B:$D,2,FALSE),"")</f>
        <v>山内 恵子</v>
      </c>
      <c r="F10" s="184">
        <f t="shared" si="1"/>
        <v>37</v>
      </c>
      <c r="G10" s="182" t="str">
        <f>IFERROR(VLOOKUP(F10&amp;"-"&amp;1,'リスト'!$B:$D,2,FALSE),"")</f>
        <v>細川 善貴</v>
      </c>
      <c r="H10" s="182" t="str">
        <f>IFERROR(VLOOKUP(F10&amp;"-"&amp;2,'リスト'!$B:$D,2,FALSE),"")</f>
        <v>厨子 沙也香</v>
      </c>
      <c r="I10" s="178">
        <v>4.0</v>
      </c>
      <c r="J10" s="178">
        <v>6.0</v>
      </c>
      <c r="K10" s="182"/>
      <c r="L10" s="185" t="b">
        <v>0</v>
      </c>
    </row>
    <row r="11">
      <c r="A11" s="182" t="str">
        <f>'順位別トーナメント'!$B$2</f>
        <v>1位トーナメント</v>
      </c>
      <c r="B11" s="183" t="s">
        <v>364</v>
      </c>
      <c r="C11" s="184">
        <f>IF(I7="","", IF(J7&gt;I7, F7, C7))</f>
        <v>45</v>
      </c>
      <c r="D11" s="182" t="str">
        <f>IFERROR(VLOOKUP(C11&amp;"-"&amp;1,'リスト'!$B:$D,2,FALSE),"")</f>
        <v>小椋 浩二</v>
      </c>
      <c r="E11" s="182" t="str">
        <f>IFERROR(VLOOKUP(C11&amp;"-"&amp;2,'リスト'!$B:$D,2,FALSE),"")</f>
        <v>前田 美由紀</v>
      </c>
      <c r="F11" s="184">
        <f>'順位別トーナメント'!W14</f>
        <v>50</v>
      </c>
      <c r="G11" s="182" t="str">
        <f>IFERROR(VLOOKUP(F11&amp;"-"&amp;1,'リスト'!$B:$D,2,FALSE),"")</f>
        <v>竹安 秀平</v>
      </c>
      <c r="H11" s="182" t="str">
        <f>IFERROR(VLOOKUP(F11&amp;"-"&amp;2,'リスト'!$B:$D,2,FALSE),"")</f>
        <v>楠瀬 翔子</v>
      </c>
      <c r="I11" s="178">
        <v>4.0</v>
      </c>
      <c r="J11" s="178">
        <v>6.0</v>
      </c>
      <c r="K11" s="182"/>
      <c r="L11" s="185" t="b">
        <v>0</v>
      </c>
    </row>
    <row r="12">
      <c r="A12" s="182" t="str">
        <f>'順位別トーナメント'!$B$2</f>
        <v>1位トーナメント</v>
      </c>
      <c r="B12" s="183" t="s">
        <v>365</v>
      </c>
      <c r="C12" s="184">
        <f>if(I8="","",  IF(J8&gt;I8, F8, C8))</f>
        <v>5</v>
      </c>
      <c r="D12" s="182" t="str">
        <f>IFERROR(VLOOKUP(C12&amp;"-"&amp;1,'リスト'!$B:$D,2,FALSE),"")</f>
        <v>常村 和仁</v>
      </c>
      <c r="E12" s="182" t="str">
        <f>IFERROR(VLOOKUP(C12&amp;"-"&amp;2,'リスト'!$B:$D,2,FALSE),"")</f>
        <v>前田 良枝</v>
      </c>
      <c r="F12" s="184">
        <f>IF(J9&gt;I9, F9, C9)</f>
        <v>25</v>
      </c>
      <c r="G12" s="182" t="str">
        <f>IFERROR(VLOOKUP(F12&amp;"-"&amp;1,'リスト'!$B:$D,2,FALSE),"")</f>
        <v>米村 琢巳</v>
      </c>
      <c r="H12" s="182" t="str">
        <f>IFERROR(VLOOKUP(F12&amp;"-"&amp;2,'リスト'!$B:$D,2,FALSE),"")</f>
        <v>佐藤 陽子</v>
      </c>
      <c r="I12" s="178">
        <v>4.0</v>
      </c>
      <c r="J12" s="178">
        <v>6.0</v>
      </c>
      <c r="K12" s="182"/>
      <c r="L12" s="185" t="b">
        <v>0</v>
      </c>
    </row>
    <row r="13">
      <c r="A13" s="182" t="str">
        <f>'順位別トーナメント'!$B$2</f>
        <v>1位トーナメント</v>
      </c>
      <c r="B13" s="183" t="s">
        <v>365</v>
      </c>
      <c r="C13" s="184">
        <f>if(I10="","",  IF(J10&gt;I10, F10, C10))</f>
        <v>37</v>
      </c>
      <c r="D13" s="182" t="str">
        <f>IFERROR(VLOOKUP(C13&amp;"-"&amp;1,'リスト'!$B:$D,2,FALSE),"")</f>
        <v>細川 善貴</v>
      </c>
      <c r="E13" s="182" t="str">
        <f>IFERROR(VLOOKUP(C13&amp;"-"&amp;2,'リスト'!$B:$D,2,FALSE),"")</f>
        <v>厨子 沙也香</v>
      </c>
      <c r="F13" s="184">
        <f>IF(I11="","", IF(J11&gt;I11, F11, C11))</f>
        <v>50</v>
      </c>
      <c r="G13" s="182" t="str">
        <f>IFERROR(VLOOKUP(F13&amp;"-"&amp;1,'リスト'!$B:$D,2,FALSE),"")</f>
        <v>竹安 秀平</v>
      </c>
      <c r="H13" s="182" t="str">
        <f>IFERROR(VLOOKUP(F13&amp;"-"&amp;2,'リスト'!$B:$D,2,FALSE),"")</f>
        <v>楠瀬 翔子</v>
      </c>
      <c r="I13" s="178">
        <v>4.0</v>
      </c>
      <c r="J13" s="178">
        <v>6.0</v>
      </c>
      <c r="K13" s="182"/>
      <c r="L13" s="185" t="b">
        <v>0</v>
      </c>
    </row>
    <row r="14">
      <c r="A14" s="182" t="str">
        <f>'順位別トーナメント'!$B$2</f>
        <v>1位トーナメント</v>
      </c>
      <c r="B14" s="183" t="s">
        <v>366</v>
      </c>
      <c r="C14" s="184">
        <f>if(I12="","",  IF(J12&gt;I12, F12, C12))</f>
        <v>25</v>
      </c>
      <c r="D14" s="182" t="str">
        <f>IFERROR(VLOOKUP(C14&amp;"-"&amp;1,'リスト'!$B:$D,2,FALSE),"")</f>
        <v>米村 琢巳</v>
      </c>
      <c r="E14" s="182" t="str">
        <f>IFERROR(VLOOKUP(C14&amp;"-"&amp;2,'リスト'!$B:$D,2,FALSE),"")</f>
        <v>佐藤 陽子</v>
      </c>
      <c r="F14" s="184">
        <f>IF(I13="","", IF(J13&gt;I13, F13, C13))</f>
        <v>50</v>
      </c>
      <c r="G14" s="182" t="str">
        <f>IFERROR(VLOOKUP(F14&amp;"-"&amp;1,'リスト'!$B:$D,2,FALSE),"")</f>
        <v>竹安 秀平</v>
      </c>
      <c r="H14" s="182" t="str">
        <f>IFERROR(VLOOKUP(F14&amp;"-"&amp;2,'リスト'!$B:$D,2,FALSE),"")</f>
        <v>楠瀬 翔子</v>
      </c>
      <c r="I14" s="178">
        <v>4.0</v>
      </c>
      <c r="J14" s="178">
        <v>6.0</v>
      </c>
      <c r="K14" s="182"/>
      <c r="L14" s="185" t="b">
        <v>0</v>
      </c>
    </row>
    <row r="15">
      <c r="A15" s="177" t="str">
        <f>'順位別トーナメント'!$B$20</f>
        <v>2位トーナメント</v>
      </c>
      <c r="B15" s="178" t="s">
        <v>363</v>
      </c>
      <c r="C15" s="179" t="str">
        <f>IFERROR('順位別トーナメント'!B24,"")</f>
        <v>22</v>
      </c>
      <c r="D15" s="177" t="str">
        <f>IFERROR(VLOOKUP(C15&amp;"-"&amp;1,'リスト'!$B:$D,2,FALSE),"")</f>
        <v>小谷 神一郎</v>
      </c>
      <c r="E15" s="177" t="str">
        <f>IFERROR(VLOOKUP(C15&amp;"-"&amp;2,'リスト'!$B:$D,2,FALSE),"")</f>
        <v>青木 楓</v>
      </c>
      <c r="F15" s="179" t="str">
        <f>IFERROR('順位別トーナメント'!B26,"")</f>
        <v>14</v>
      </c>
      <c r="G15" s="177" t="str">
        <f>IFERROR(VLOOKUP(F15&amp;"-"&amp;1,'リスト'!$B:$D,2,FALSE),"")</f>
        <v>中里 海</v>
      </c>
      <c r="H15" s="177" t="str">
        <f>IFERROR(VLOOKUP(F15&amp;"-"&amp;2,'リスト'!$B:$D,2,FALSE),"")</f>
        <v>市川 朋子</v>
      </c>
      <c r="I15" s="178">
        <v>4.0</v>
      </c>
      <c r="J15" s="178">
        <v>6.0</v>
      </c>
      <c r="K15" s="177"/>
      <c r="L15" s="181" t="b">
        <v>0</v>
      </c>
    </row>
    <row r="16">
      <c r="A16" s="177" t="str">
        <f>'順位別トーナメント'!$B$20</f>
        <v>2位トーナメント</v>
      </c>
      <c r="B16" s="178" t="s">
        <v>363</v>
      </c>
      <c r="C16" s="179" t="str">
        <f>IFERROR('順位別トーナメント'!B28,"")</f>
        <v>34</v>
      </c>
      <c r="D16" s="177" t="str">
        <f>IFERROR(VLOOKUP(C16&amp;"-"&amp;1,'リスト'!$B:$D,2,FALSE),"")</f>
        <v>高木 道大</v>
      </c>
      <c r="E16" s="177" t="str">
        <f>IFERROR(VLOOKUP(C16&amp;"-"&amp;2,'リスト'!$B:$D,2,FALSE),"")</f>
        <v>北脇 禎恵</v>
      </c>
      <c r="F16" s="179" t="str">
        <f>IFERROR('順位別トーナメント'!B30,"")</f>
        <v>11</v>
      </c>
      <c r="G16" s="177" t="str">
        <f>IFERROR(VLOOKUP(F16&amp;"-"&amp;1,'リスト'!$B:$D,2,FALSE),"")</f>
        <v>和気 久</v>
      </c>
      <c r="H16" s="177" t="str">
        <f>IFERROR(VLOOKUP(F16&amp;"-"&amp;2,'リスト'!$B:$D,2,FALSE),"")</f>
        <v>長川 朱美</v>
      </c>
      <c r="I16" s="178">
        <v>4.0</v>
      </c>
      <c r="J16" s="178">
        <v>6.0</v>
      </c>
      <c r="K16" s="177"/>
      <c r="L16" s="181" t="b">
        <v>0</v>
      </c>
    </row>
    <row r="17">
      <c r="A17" s="177" t="str">
        <f>'順位別トーナメント'!$B$20</f>
        <v>2位トーナメント</v>
      </c>
      <c r="B17" s="178" t="s">
        <v>363</v>
      </c>
      <c r="C17" s="179" t="str">
        <f>IFERROR('順位別トーナメント'!B32,"")</f>
        <v>26</v>
      </c>
      <c r="D17" s="177" t="str">
        <f>IFERROR(VLOOKUP(C17&amp;"-"&amp;1,'リスト'!$B:$D,2,FALSE),"")</f>
        <v>松原 成哉</v>
      </c>
      <c r="E17" s="177" t="str">
        <f>IFERROR(VLOOKUP(C17&amp;"-"&amp;2,'リスト'!$B:$D,2,FALSE),"")</f>
        <v>宮島 依吹</v>
      </c>
      <c r="F17" s="179" t="str">
        <f>IFERROR('順位別トーナメント'!B34,"")</f>
        <v>18</v>
      </c>
      <c r="G17" s="177" t="str">
        <f>IFERROR(VLOOKUP(F17&amp;"-"&amp;1,'リスト'!$B:$D,2,FALSE),"")</f>
        <v>田中 憲一</v>
      </c>
      <c r="H17" s="177" t="str">
        <f>IFERROR(VLOOKUP(F17&amp;"-"&amp;2,'リスト'!$B:$D,2,FALSE),"")</f>
        <v>山﨑 弥生</v>
      </c>
      <c r="I17" s="178">
        <v>4.0</v>
      </c>
      <c r="J17" s="178">
        <v>6.0</v>
      </c>
      <c r="K17" s="177"/>
      <c r="L17" s="181" t="b">
        <v>0</v>
      </c>
    </row>
    <row r="18">
      <c r="A18" s="182" t="str">
        <f>'順位別トーナメント'!$B$20</f>
        <v>2位トーナメント</v>
      </c>
      <c r="B18" s="183" t="s">
        <v>363</v>
      </c>
      <c r="C18" s="184" t="str">
        <f>IFERROR('順位別トーナメント'!W24,"")</f>
        <v>2</v>
      </c>
      <c r="D18" s="182" t="str">
        <f>IFERROR(VLOOKUP(C18&amp;"-"&amp;1,'リスト'!$B:$D,2,FALSE),"")</f>
        <v>岸本 健悟</v>
      </c>
      <c r="E18" s="182" t="str">
        <f>IFERROR(VLOOKUP(C18&amp;"-"&amp;2,'リスト'!$B:$D,2,FALSE),"")</f>
        <v>三浦 舞子</v>
      </c>
      <c r="F18" s="184" t="str">
        <f>IFERROR('順位別トーナメント'!W26,"")</f>
        <v>46</v>
      </c>
      <c r="G18" s="182" t="str">
        <f>IFERROR(VLOOKUP(F18&amp;"-"&amp;1,'リスト'!$B:$D,2,FALSE),"")</f>
        <v>住吉 俊輝</v>
      </c>
      <c r="H18" s="182" t="str">
        <f>IFERROR(VLOOKUP(F18&amp;"-"&amp;2,'リスト'!$B:$D,2,FALSE),"")</f>
        <v>福浜 美佐緒</v>
      </c>
      <c r="I18" s="178">
        <v>4.0</v>
      </c>
      <c r="J18" s="178">
        <v>6.0</v>
      </c>
      <c r="K18" s="182"/>
      <c r="L18" s="185" t="b">
        <v>0</v>
      </c>
    </row>
    <row r="19">
      <c r="A19" s="182" t="str">
        <f>'順位別トーナメント'!$B$20</f>
        <v>2位トーナメント</v>
      </c>
      <c r="B19" s="183" t="s">
        <v>363</v>
      </c>
      <c r="C19" s="184" t="str">
        <f>IFERROR('順位別トーナメント'!W28,"")</f>
        <v>6</v>
      </c>
      <c r="D19" s="182" t="str">
        <f>IFERROR(VLOOKUP(C19&amp;"-"&amp;1,'リスト'!$B:$D,2,FALSE),"")</f>
        <v>山辺 裕司</v>
      </c>
      <c r="E19" s="182" t="str">
        <f>IFERROR(VLOOKUP(C19&amp;"-"&amp;2,'リスト'!$B:$D,2,FALSE),"")</f>
        <v>蓼本 裕美</v>
      </c>
      <c r="F19" s="184" t="str">
        <f>IFERROR('順位別トーナメント'!W30,"")</f>
        <v>51</v>
      </c>
      <c r="G19" s="182" t="str">
        <f>IFERROR(VLOOKUP(F19&amp;"-"&amp;1,'リスト'!$B:$D,2,FALSE),"")</f>
        <v>橋本 義斉</v>
      </c>
      <c r="H19" s="182" t="str">
        <f>IFERROR(VLOOKUP(F19&amp;"-"&amp;2,'リスト'!$B:$D,2,FALSE),"")</f>
        <v>今城 由美</v>
      </c>
      <c r="I19" s="178">
        <v>4.0</v>
      </c>
      <c r="J19" s="178">
        <v>6.0</v>
      </c>
      <c r="K19" s="182"/>
      <c r="L19" s="185" t="b">
        <v>0</v>
      </c>
    </row>
    <row r="20">
      <c r="A20" s="182" t="str">
        <f>'順位別トーナメント'!$B$20</f>
        <v>2位トーナメント</v>
      </c>
      <c r="B20" s="183" t="s">
        <v>364</v>
      </c>
      <c r="C20" s="184" t="str">
        <f>IFERROR('順位別トーナメント'!B22,"")</f>
        <v>38</v>
      </c>
      <c r="D20" s="182" t="str">
        <f>IFERROR(VLOOKUP(C20&amp;"-"&amp;1,'リスト'!$B:$D,2,FALSE),"")</f>
        <v>柳武 剛</v>
      </c>
      <c r="E20" s="182" t="str">
        <f>IFERROR(VLOOKUP(C20&amp;"-"&amp;2,'リスト'!$B:$D,2,FALSE),"")</f>
        <v>鳥飼 明子</v>
      </c>
      <c r="F20" s="184" t="str">
        <f>IF(I15="","", IF(J15&gt;I15, F15, C15))</f>
        <v>14</v>
      </c>
      <c r="G20" s="182" t="str">
        <f>IFERROR(VLOOKUP(F20&amp;"-"&amp;1,'リスト'!$B:$D,2,FALSE),"")</f>
        <v>中里 海</v>
      </c>
      <c r="H20" s="182" t="str">
        <f>IFERROR(VLOOKUP(F20&amp;"-"&amp;2,'リスト'!$B:$D,2,FALSE),"")</f>
        <v>市川 朋子</v>
      </c>
      <c r="I20" s="178">
        <v>4.0</v>
      </c>
      <c r="J20" s="178">
        <v>6.0</v>
      </c>
      <c r="K20" s="182"/>
      <c r="L20" s="185" t="b">
        <v>0</v>
      </c>
    </row>
    <row r="21">
      <c r="A21" s="182" t="str">
        <f>'順位別トーナメント'!$B$20</f>
        <v>2位トーナメント</v>
      </c>
      <c r="B21" s="183" t="s">
        <v>364</v>
      </c>
      <c r="C21" s="184" t="str">
        <f>IF(I16="","", IF(J16&gt;I16, F16, C16))</f>
        <v>11</v>
      </c>
      <c r="D21" s="182" t="str">
        <f>IFERROR(VLOOKUP(C21&amp;"-"&amp;1,'リスト'!$B:$D,2,FALSE),"")</f>
        <v>和気 久</v>
      </c>
      <c r="E21" s="182" t="str">
        <f>IFERROR(VLOOKUP(C21&amp;"-"&amp;2,'リスト'!$B:$D,2,FALSE),"")</f>
        <v>長川 朱美</v>
      </c>
      <c r="F21" s="184" t="str">
        <f t="shared" ref="F21:F22" si="2">IF(I17="","", IF(J17&gt;I17, F17, C17))</f>
        <v>18</v>
      </c>
      <c r="G21" s="182" t="str">
        <f>IFERROR(VLOOKUP(F21&amp;"-"&amp;1,'リスト'!$B:$D,2,FALSE),"")</f>
        <v>田中 憲一</v>
      </c>
      <c r="H21" s="182" t="str">
        <f>IFERROR(VLOOKUP(F21&amp;"-"&amp;2,'リスト'!$B:$D,2,FALSE),"")</f>
        <v>山﨑 弥生</v>
      </c>
      <c r="I21" s="178">
        <v>4.0</v>
      </c>
      <c r="J21" s="178">
        <v>6.0</v>
      </c>
      <c r="K21" s="182"/>
      <c r="L21" s="185" t="b">
        <v>0</v>
      </c>
    </row>
    <row r="22">
      <c r="A22" s="182" t="str">
        <f>'順位別トーナメント'!$B$20</f>
        <v>2位トーナメント</v>
      </c>
      <c r="B22" s="183" t="s">
        <v>364</v>
      </c>
      <c r="C22" s="184" t="str">
        <f>IFERROR('順位別トーナメント'!W22,"")</f>
        <v>30</v>
      </c>
      <c r="D22" s="182" t="str">
        <f>IFERROR(VLOOKUP(C22&amp;"-"&amp;1,'リスト'!$B:$D,2,FALSE),"")</f>
        <v>坪上 雄太</v>
      </c>
      <c r="E22" s="182" t="str">
        <f>IFERROR(VLOOKUP(C22&amp;"-"&amp;2,'リスト'!$B:$D,2,FALSE),"")</f>
        <v>高垣 雅美</v>
      </c>
      <c r="F22" s="184" t="str">
        <f t="shared" si="2"/>
        <v>46</v>
      </c>
      <c r="G22" s="182" t="str">
        <f>IFERROR(VLOOKUP(F22&amp;"-"&amp;1,'リスト'!$B:$D,2,FALSE),"")</f>
        <v>住吉 俊輝</v>
      </c>
      <c r="H22" s="182" t="str">
        <f>IFERROR(VLOOKUP(F22&amp;"-"&amp;2,'リスト'!$B:$D,2,FALSE),"")</f>
        <v>福浜 美佐緒</v>
      </c>
      <c r="I22" s="178">
        <v>4.0</v>
      </c>
      <c r="J22" s="178">
        <v>6.0</v>
      </c>
      <c r="K22" s="182"/>
      <c r="L22" s="185" t="b">
        <v>0</v>
      </c>
    </row>
    <row r="23">
      <c r="A23" s="182" t="str">
        <f>'順位別トーナメント'!$B$20</f>
        <v>2位トーナメント</v>
      </c>
      <c r="B23" s="183" t="s">
        <v>364</v>
      </c>
      <c r="C23" s="184" t="str">
        <f t="shared" ref="C23:C24" si="3">if(I19="","",  IF(J19&gt;I19, F19, C19))</f>
        <v>51</v>
      </c>
      <c r="D23" s="182" t="str">
        <f>IFERROR(VLOOKUP(C23&amp;"-"&amp;1,'リスト'!$B:$D,2,FALSE),"")</f>
        <v>橋本 義斉</v>
      </c>
      <c r="E23" s="182" t="str">
        <f>IFERROR(VLOOKUP(C23&amp;"-"&amp;2,'リスト'!$B:$D,2,FALSE),"")</f>
        <v>今城 由美</v>
      </c>
      <c r="F23" s="184" t="str">
        <f>IFERROR('順位別トーナメント'!W32,"")</f>
        <v>42</v>
      </c>
      <c r="G23" s="182" t="str">
        <f>IFERROR(VLOOKUP(F23&amp;"-"&amp;1,'リスト'!$B:$D,2,FALSE),"")</f>
        <v>田中 久夫</v>
      </c>
      <c r="H23" s="182" t="str">
        <f>IFERROR(VLOOKUP(F23&amp;"-"&amp;2,'リスト'!$B:$D,2,FALSE),"")</f>
        <v>林 京子</v>
      </c>
      <c r="I23" s="178">
        <v>4.0</v>
      </c>
      <c r="J23" s="178">
        <v>6.0</v>
      </c>
      <c r="K23" s="182"/>
      <c r="L23" s="185" t="b">
        <v>0</v>
      </c>
    </row>
    <row r="24">
      <c r="A24" s="182" t="str">
        <f>'順位別トーナメント'!$B$20</f>
        <v>2位トーナメント</v>
      </c>
      <c r="B24" s="183" t="s">
        <v>365</v>
      </c>
      <c r="C24" s="184" t="str">
        <f t="shared" si="3"/>
        <v>14</v>
      </c>
      <c r="D24" s="182" t="str">
        <f>IFERROR(VLOOKUP(C24&amp;"-"&amp;1,'リスト'!$B:$D,2,FALSE),"")</f>
        <v>中里 海</v>
      </c>
      <c r="E24" s="182" t="str">
        <f>IFERROR(VLOOKUP(C24&amp;"-"&amp;2,'リスト'!$B:$D,2,FALSE),"")</f>
        <v>市川 朋子</v>
      </c>
      <c r="F24" s="184" t="str">
        <f>IF(I21="","", IF(J21&gt;I21, F21, C21))</f>
        <v>18</v>
      </c>
      <c r="G24" s="182" t="str">
        <f>IFERROR(VLOOKUP(F24&amp;"-"&amp;1,'リスト'!$B:$D,2,FALSE),"")</f>
        <v>田中 憲一</v>
      </c>
      <c r="H24" s="182" t="str">
        <f>IFERROR(VLOOKUP(F24&amp;"-"&amp;2,'リスト'!$B:$D,2,FALSE),"")</f>
        <v>山﨑 弥生</v>
      </c>
      <c r="I24" s="178">
        <v>4.0</v>
      </c>
      <c r="J24" s="178">
        <v>6.0</v>
      </c>
      <c r="K24" s="182"/>
      <c r="L24" s="185" t="b">
        <v>0</v>
      </c>
    </row>
    <row r="25">
      <c r="A25" s="182" t="str">
        <f>'順位別トーナメント'!$B$20</f>
        <v>2位トーナメント</v>
      </c>
      <c r="B25" s="183" t="s">
        <v>365</v>
      </c>
      <c r="C25" s="184" t="str">
        <f>if(I22="","",  IF(J22&gt;I22, F22, C22))</f>
        <v>46</v>
      </c>
      <c r="D25" s="182" t="str">
        <f>IFERROR(VLOOKUP(C25&amp;"-"&amp;1,'リスト'!$B:$D,2,FALSE),"")</f>
        <v>住吉 俊輝</v>
      </c>
      <c r="E25" s="182" t="str">
        <f>IFERROR(VLOOKUP(C25&amp;"-"&amp;2,'リスト'!$B:$D,2,FALSE),"")</f>
        <v>福浜 美佐緒</v>
      </c>
      <c r="F25" s="184" t="str">
        <f>IF(I23="","", IF(J23&gt;I23, F23, C23))</f>
        <v>42</v>
      </c>
      <c r="G25" s="182" t="str">
        <f>IFERROR(VLOOKUP(F25&amp;"-"&amp;1,'リスト'!$B:$D,2,FALSE),"")</f>
        <v>田中 久夫</v>
      </c>
      <c r="H25" s="182" t="str">
        <f>IFERROR(VLOOKUP(F25&amp;"-"&amp;2,'リスト'!$B:$D,2,FALSE),"")</f>
        <v>林 京子</v>
      </c>
      <c r="I25" s="178">
        <v>4.0</v>
      </c>
      <c r="J25" s="178">
        <v>6.0</v>
      </c>
      <c r="K25" s="182"/>
      <c r="L25" s="185" t="b">
        <v>0</v>
      </c>
    </row>
    <row r="26">
      <c r="A26" s="182" t="str">
        <f>'順位別トーナメント'!$B$20</f>
        <v>2位トーナメント</v>
      </c>
      <c r="B26" s="183" t="s">
        <v>366</v>
      </c>
      <c r="C26" s="184" t="str">
        <f>if(I24="","",  IF(J24&gt;I24, F24, C24))</f>
        <v>18</v>
      </c>
      <c r="D26" s="182" t="str">
        <f>IFERROR(VLOOKUP(C26&amp;"-"&amp;1,'リスト'!$B:$D,2,FALSE),"")</f>
        <v>田中 憲一</v>
      </c>
      <c r="E26" s="182" t="str">
        <f>IFERROR(VLOOKUP(C26&amp;"-"&amp;2,'リスト'!$B:$D,2,FALSE),"")</f>
        <v>山﨑 弥生</v>
      </c>
      <c r="F26" s="184" t="str">
        <f>IF(I25="","", IF(J25&gt;I25, F25, C25))</f>
        <v>42</v>
      </c>
      <c r="G26" s="182" t="str">
        <f>IFERROR(VLOOKUP(F26&amp;"-"&amp;1,'リスト'!$B:$D,2,FALSE),"")</f>
        <v>田中 久夫</v>
      </c>
      <c r="H26" s="182" t="str">
        <f>IFERROR(VLOOKUP(F26&amp;"-"&amp;2,'リスト'!$B:$D,2,FALSE),"")</f>
        <v>林 京子</v>
      </c>
      <c r="I26" s="178">
        <v>4.0</v>
      </c>
      <c r="J26" s="178">
        <v>6.0</v>
      </c>
      <c r="K26" s="182"/>
      <c r="L26" s="185" t="b">
        <v>0</v>
      </c>
    </row>
    <row r="27">
      <c r="A27" s="177" t="str">
        <f>'順位別トーナメント'!$B$38</f>
        <v>3位トーナメント</v>
      </c>
      <c r="B27" s="178" t="s">
        <v>363</v>
      </c>
      <c r="C27" s="179" t="str">
        <f>IFERROR('順位別トーナメント'!B42,"")</f>
        <v>52</v>
      </c>
      <c r="D27" s="177" t="str">
        <f>IFERROR(VLOOKUP(C27&amp;"-"&amp;1,'リスト'!$B:$D,2,FALSE),"")</f>
        <v>井嶋 昭二</v>
      </c>
      <c r="E27" s="177" t="str">
        <f>IFERROR(VLOOKUP(C27&amp;"-"&amp;2,'リスト'!$B:$D,2,FALSE),"")</f>
        <v>高木 美穂</v>
      </c>
      <c r="F27" s="179" t="str">
        <f>IFERROR('順位別トーナメント'!B44,"")</f>
        <v>7</v>
      </c>
      <c r="G27" s="177" t="str">
        <f>IFERROR(VLOOKUP(F27&amp;"-"&amp;1,'リスト'!$B:$D,2,FALSE),"")</f>
        <v>高垣 護</v>
      </c>
      <c r="H27" s="177" t="str">
        <f>IFERROR(VLOOKUP(F27&amp;"-"&amp;2,'リスト'!$B:$D,2,FALSE),"")</f>
        <v>門脇 春美</v>
      </c>
      <c r="I27" s="178">
        <v>6.0</v>
      </c>
      <c r="J27" s="178">
        <v>1.0</v>
      </c>
      <c r="K27" s="177"/>
      <c r="L27" s="181" t="b">
        <v>0</v>
      </c>
    </row>
    <row r="28">
      <c r="A28" s="177" t="str">
        <f>'順位別トーナメント'!$B$38</f>
        <v>3位トーナメント</v>
      </c>
      <c r="B28" s="178" t="s">
        <v>363</v>
      </c>
      <c r="C28" s="179" t="str">
        <f>IFERROR('順位別トーナメント'!B46,"")</f>
        <v>15</v>
      </c>
      <c r="D28" s="177" t="str">
        <f>IFERROR(VLOOKUP(C28&amp;"-"&amp;1,'リスト'!$B:$D,2,FALSE),"")</f>
        <v>網川 忠之</v>
      </c>
      <c r="E28" s="177" t="str">
        <f>IFERROR(VLOOKUP(C28&amp;"-"&amp;2,'リスト'!$B:$D,2,FALSE),"")</f>
        <v>網川 佐知子</v>
      </c>
      <c r="F28" s="179" t="str">
        <f>IFERROR('順位別トーナメント'!B48,"")</f>
        <v>31</v>
      </c>
      <c r="G28" s="177" t="str">
        <f>IFERROR(VLOOKUP(F28&amp;"-"&amp;1,'リスト'!$B:$D,2,FALSE),"")</f>
        <v>砂原 翔</v>
      </c>
      <c r="H28" s="177" t="str">
        <f>IFERROR(VLOOKUP(F28&amp;"-"&amp;2,'リスト'!$B:$D,2,FALSE),"")</f>
        <v>藤田 登紀子</v>
      </c>
      <c r="I28" s="178">
        <v>6.0</v>
      </c>
      <c r="J28" s="178">
        <v>1.0</v>
      </c>
      <c r="K28" s="177"/>
      <c r="L28" s="181" t="b">
        <v>0</v>
      </c>
    </row>
    <row r="29">
      <c r="A29" s="177" t="str">
        <f>'順位別トーナメント'!$B$38</f>
        <v>3位トーナメント</v>
      </c>
      <c r="B29" s="178" t="s">
        <v>363</v>
      </c>
      <c r="C29" s="179" t="str">
        <f>IFERROR('順位別トーナメント'!W40,"")</f>
        <v>23</v>
      </c>
      <c r="D29" s="177" t="str">
        <f>IFERROR(VLOOKUP(C29&amp;"-"&amp;1,'リスト'!$B:$D,2,FALSE),"")</f>
        <v>朝倉 章順</v>
      </c>
      <c r="E29" s="177" t="str">
        <f>IFERROR(VLOOKUP(C29&amp;"-"&amp;2,'リスト'!$B:$D,2,FALSE),"")</f>
        <v>朝倉 加世子</v>
      </c>
      <c r="F29" s="179" t="str">
        <f>IFERROR('順位別トーナメント'!W42,"")</f>
        <v>19</v>
      </c>
      <c r="G29" s="177" t="str">
        <f>IFERROR(VLOOKUP(F29&amp;"-"&amp;1,'リスト'!$B:$D,2,FALSE),"")</f>
        <v>椿 誠</v>
      </c>
      <c r="H29" s="177" t="str">
        <f>IFERROR(VLOOKUP(F29&amp;"-"&amp;2,'リスト'!$B:$D,2,FALSE),"")</f>
        <v>椿 保奈瀬</v>
      </c>
      <c r="I29" s="178">
        <v>6.0</v>
      </c>
      <c r="J29" s="178">
        <v>1.0</v>
      </c>
      <c r="K29" s="177"/>
      <c r="L29" s="181" t="b">
        <v>0</v>
      </c>
    </row>
    <row r="30">
      <c r="A30" s="182" t="str">
        <f>'順位別トーナメント'!$B$38</f>
        <v>3位トーナメント</v>
      </c>
      <c r="B30" s="183" t="s">
        <v>363</v>
      </c>
      <c r="C30" s="184" t="str">
        <f>IFERROR('順位別トーナメント'!W44,"")</f>
        <v>3</v>
      </c>
      <c r="D30" s="182" t="str">
        <f>IFERROR(VLOOKUP(C30&amp;"-"&amp;1,'リスト'!$B:$D,2,FALSE),"")</f>
        <v>西山 禎侑</v>
      </c>
      <c r="E30" s="182" t="str">
        <f>IFERROR(VLOOKUP(C30&amp;"-"&amp;2,'リスト'!$B:$D,2,FALSE),"")</f>
        <v>小林 さえ子</v>
      </c>
      <c r="F30" s="184" t="str">
        <f>IFERROR('順位別トーナメント'!W46,"")</f>
        <v>43</v>
      </c>
      <c r="G30" s="182" t="str">
        <f>IFERROR(VLOOKUP(F30&amp;"-"&amp;1,'リスト'!$B:$D,2,FALSE),"")</f>
        <v>難波 隆顕</v>
      </c>
      <c r="H30" s="182" t="str">
        <f>IFERROR(VLOOKUP(F30&amp;"-"&amp;2,'リスト'!$B:$D,2,FALSE),"")</f>
        <v>森 順子</v>
      </c>
      <c r="I30" s="178">
        <v>6.0</v>
      </c>
      <c r="J30" s="178">
        <v>1.0</v>
      </c>
      <c r="K30" s="182"/>
      <c r="L30" s="185" t="b">
        <v>0</v>
      </c>
    </row>
    <row r="31">
      <c r="A31" s="182" t="str">
        <f>'順位別トーナメント'!$B$38</f>
        <v>3位トーナメント</v>
      </c>
      <c r="B31" s="183" t="s">
        <v>363</v>
      </c>
      <c r="C31" s="184" t="str">
        <f>IFERROR('順位別トーナメント'!W48,"")</f>
        <v>35</v>
      </c>
      <c r="D31" s="182" t="str">
        <f>IFERROR(VLOOKUP(C31&amp;"-"&amp;1,'リスト'!$B:$D,2,FALSE),"")</f>
        <v>橋本 真也</v>
      </c>
      <c r="E31" s="182" t="str">
        <f>IFERROR(VLOOKUP(C31&amp;"-"&amp;2,'リスト'!$B:$D,2,FALSE),"")</f>
        <v>馬嶋 由美子</v>
      </c>
      <c r="F31" s="184" t="str">
        <f>IFERROR('順位別トーナメント'!W50,"")</f>
        <v>27</v>
      </c>
      <c r="G31" s="182" t="str">
        <f>IFERROR(VLOOKUP(F31&amp;"-"&amp;1,'リスト'!$B:$D,2,FALSE),"")</f>
        <v>田中 達也</v>
      </c>
      <c r="H31" s="182" t="str">
        <f>IFERROR(VLOOKUP(F31&amp;"-"&amp;2,'リスト'!$B:$D,2,FALSE),"")</f>
        <v>田渕 夕起子</v>
      </c>
      <c r="I31" s="178">
        <v>6.0</v>
      </c>
      <c r="J31" s="178">
        <v>1.0</v>
      </c>
      <c r="K31" s="182"/>
      <c r="L31" s="185" t="b">
        <v>0</v>
      </c>
    </row>
    <row r="32">
      <c r="A32" s="182" t="str">
        <f>'順位別トーナメント'!$B$38</f>
        <v>3位トーナメント</v>
      </c>
      <c r="B32" s="183" t="s">
        <v>364</v>
      </c>
      <c r="C32" s="184" t="str">
        <f>IFERROR('順位別トーナメント'!B40,"")</f>
        <v>39</v>
      </c>
      <c r="D32" s="182" t="str">
        <f>IFERROR(VLOOKUP(C32&amp;"-"&amp;1,'リスト'!$B:$D,2,FALSE),"")</f>
        <v>盛本 貴之</v>
      </c>
      <c r="E32" s="182" t="str">
        <f>IFERROR(VLOOKUP(C32&amp;"-"&amp;2,'リスト'!$B:$D,2,FALSE),"")</f>
        <v>仲曽 真由美</v>
      </c>
      <c r="F32" s="184" t="str">
        <f>IF(I27="","", IF(J27&gt;I27, F27, C27))</f>
        <v>52</v>
      </c>
      <c r="G32" s="182" t="str">
        <f>IFERROR(VLOOKUP(F32&amp;"-"&amp;1,'リスト'!$B:$D,2,FALSE),"")</f>
        <v>井嶋 昭二</v>
      </c>
      <c r="H32" s="182" t="str">
        <f>IFERROR(VLOOKUP(F32&amp;"-"&amp;2,'リスト'!$B:$D,2,FALSE),"")</f>
        <v>高木 美穂</v>
      </c>
      <c r="I32" s="178">
        <v>6.0</v>
      </c>
      <c r="J32" s="178">
        <v>1.0</v>
      </c>
      <c r="K32" s="182"/>
      <c r="L32" s="185" t="b">
        <v>0</v>
      </c>
    </row>
    <row r="33">
      <c r="A33" s="182" t="str">
        <f>'順位別トーナメント'!$B$38</f>
        <v>3位トーナメント</v>
      </c>
      <c r="B33" s="183" t="s">
        <v>364</v>
      </c>
      <c r="C33" s="184" t="str">
        <f t="shared" ref="C33:C34" si="4">if(I28="","",  IF(J28&gt;I28, F28, C28))</f>
        <v>15</v>
      </c>
      <c r="D33" s="182" t="str">
        <f>IFERROR(VLOOKUP(C33&amp;"-"&amp;1,'リスト'!$B:$D,2,FALSE),"")</f>
        <v>網川 忠之</v>
      </c>
      <c r="E33" s="182" t="str">
        <f>IFERROR(VLOOKUP(C33&amp;"-"&amp;2,'リスト'!$B:$D,2,FALSE),"")</f>
        <v>網川 佐知子</v>
      </c>
      <c r="F33" s="184" t="str">
        <f>IFERROR('順位別トーナメント'!B50,)</f>
        <v>12</v>
      </c>
      <c r="G33" s="182" t="str">
        <f>IFERROR(VLOOKUP(F33&amp;"-"&amp;1,'リスト'!$B:$D,2,FALSE),"")</f>
        <v>山下 悠樹</v>
      </c>
      <c r="H33" s="182" t="str">
        <f>IFERROR(VLOOKUP(F33&amp;"-"&amp;2,'リスト'!$B:$D,2,FALSE),"")</f>
        <v>田苗 真里</v>
      </c>
      <c r="I33" s="178">
        <v>6.0</v>
      </c>
      <c r="J33" s="178">
        <v>1.0</v>
      </c>
      <c r="K33" s="182"/>
      <c r="L33" s="185" t="b">
        <v>0</v>
      </c>
    </row>
    <row r="34">
      <c r="A34" s="182" t="str">
        <f>'順位別トーナメント'!$B$38</f>
        <v>3位トーナメント</v>
      </c>
      <c r="B34" s="183" t="s">
        <v>364</v>
      </c>
      <c r="C34" s="184" t="str">
        <f t="shared" si="4"/>
        <v>23</v>
      </c>
      <c r="D34" s="182" t="str">
        <f>IFERROR(VLOOKUP(C34&amp;"-"&amp;1,'リスト'!$B:$D,2,FALSE),"")</f>
        <v>朝倉 章順</v>
      </c>
      <c r="E34" s="182" t="str">
        <f>IFERROR(VLOOKUP(C34&amp;"-"&amp;2,'リスト'!$B:$D,2,FALSE),"")</f>
        <v>朝倉 加世子</v>
      </c>
      <c r="F34" s="184" t="str">
        <f>IF(I30="","", IF(J30&gt;I30, F30, C30))</f>
        <v>3</v>
      </c>
      <c r="G34" s="182" t="str">
        <f>IFERROR(VLOOKUP(F34&amp;"-"&amp;1,'リスト'!$B:$D,2,FALSE),"")</f>
        <v>西山 禎侑</v>
      </c>
      <c r="H34" s="182" t="str">
        <f>IFERROR(VLOOKUP(F34&amp;"-"&amp;2,'リスト'!$B:$D,2,FALSE),"")</f>
        <v>小林 さえ子</v>
      </c>
      <c r="I34" s="178">
        <v>6.0</v>
      </c>
      <c r="J34" s="178">
        <v>1.0</v>
      </c>
      <c r="K34" s="182"/>
      <c r="L34" s="185" t="b">
        <v>0</v>
      </c>
    </row>
    <row r="35">
      <c r="A35" s="182" t="str">
        <f>'順位別トーナメント'!$B$38</f>
        <v>3位トーナメント</v>
      </c>
      <c r="B35" s="183" t="s">
        <v>364</v>
      </c>
      <c r="C35" s="184" t="str">
        <f t="shared" ref="C35:C36" si="5">if(I31="","",  IF(J31&gt;I31, F31, C31))</f>
        <v>35</v>
      </c>
      <c r="D35" s="182" t="str">
        <f>IFERROR(VLOOKUP(C35&amp;"-"&amp;1,'リスト'!$B:$D,2,FALSE),"")</f>
        <v>橋本 真也</v>
      </c>
      <c r="E35" s="182" t="str">
        <f>IFERROR(VLOOKUP(C35&amp;"-"&amp;2,'リスト'!$B:$D,2,FALSE),"")</f>
        <v>馬嶋 由美子</v>
      </c>
      <c r="F35" s="184" t="str">
        <f>IFERROR('順位別トーナメント'!W52,"")</f>
        <v>47</v>
      </c>
      <c r="G35" s="182" t="str">
        <f>IFERROR(VLOOKUP(F35&amp;"-"&amp;1,'リスト'!$B:$D,2,FALSE),"")</f>
        <v>吉田 浩士</v>
      </c>
      <c r="H35" s="182" t="str">
        <f>IFERROR(VLOOKUP(F35&amp;"-"&amp;2,'リスト'!$B:$D,2,FALSE),"")</f>
        <v>岡田 友子</v>
      </c>
      <c r="I35" s="178">
        <v>6.0</v>
      </c>
      <c r="J35" s="178">
        <v>1.0</v>
      </c>
      <c r="K35" s="182"/>
      <c r="L35" s="185" t="b">
        <v>0</v>
      </c>
    </row>
    <row r="36">
      <c r="A36" s="182" t="str">
        <f>'順位別トーナメント'!$B$38</f>
        <v>3位トーナメント</v>
      </c>
      <c r="B36" s="183" t="s">
        <v>365</v>
      </c>
      <c r="C36" s="184" t="str">
        <f t="shared" si="5"/>
        <v>39</v>
      </c>
      <c r="D36" s="182" t="str">
        <f>IFERROR(VLOOKUP(C36&amp;"-"&amp;1,'リスト'!$B:$D,2,FALSE),"")</f>
        <v>盛本 貴之</v>
      </c>
      <c r="E36" s="182" t="str">
        <f>IFERROR(VLOOKUP(C36&amp;"-"&amp;2,'リスト'!$B:$D,2,FALSE),"")</f>
        <v>仲曽 真由美</v>
      </c>
      <c r="F36" s="184" t="str">
        <f>IF(I33="","", IF(J33&gt;I33, F33, C33))</f>
        <v>15</v>
      </c>
      <c r="G36" s="182" t="str">
        <f>IFERROR(VLOOKUP(F36&amp;"-"&amp;1,'リスト'!$B:$D,2,FALSE),"")</f>
        <v>網川 忠之</v>
      </c>
      <c r="H36" s="182" t="str">
        <f>IFERROR(VLOOKUP(F36&amp;"-"&amp;2,'リスト'!$B:$D,2,FALSE),"")</f>
        <v>網川 佐知子</v>
      </c>
      <c r="I36" s="178">
        <v>6.0</v>
      </c>
      <c r="J36" s="178">
        <v>1.0</v>
      </c>
      <c r="K36" s="182"/>
      <c r="L36" s="185" t="b">
        <v>0</v>
      </c>
    </row>
    <row r="37">
      <c r="A37" s="182" t="str">
        <f>'順位別トーナメント'!$B$38</f>
        <v>3位トーナメント</v>
      </c>
      <c r="B37" s="183" t="s">
        <v>365</v>
      </c>
      <c r="C37" s="184" t="str">
        <f>if(I34="","",  IF(J34&gt;I34, F34, C34))</f>
        <v>23</v>
      </c>
      <c r="D37" s="182" t="str">
        <f>IFERROR(VLOOKUP(C37&amp;"-"&amp;1,'リスト'!$B:$D,2,FALSE),"")</f>
        <v>朝倉 章順</v>
      </c>
      <c r="E37" s="182" t="str">
        <f>IFERROR(VLOOKUP(C37&amp;"-"&amp;2,'リスト'!$B:$D,2,FALSE),"")</f>
        <v>朝倉 加世子</v>
      </c>
      <c r="F37" s="184" t="str">
        <f>IF(I35="","", IF(J35&gt;I35, F35, C35))</f>
        <v>35</v>
      </c>
      <c r="G37" s="182" t="str">
        <f>IFERROR(VLOOKUP(F37&amp;"-"&amp;1,'リスト'!$B:$D,2,FALSE),"")</f>
        <v>橋本 真也</v>
      </c>
      <c r="H37" s="182" t="str">
        <f>IFERROR(VLOOKUP(F37&amp;"-"&amp;2,'リスト'!$B:$D,2,FALSE),"")</f>
        <v>馬嶋 由美子</v>
      </c>
      <c r="I37" s="178">
        <v>6.0</v>
      </c>
      <c r="J37" s="178">
        <v>1.0</v>
      </c>
      <c r="K37" s="182"/>
      <c r="L37" s="185" t="b">
        <v>0</v>
      </c>
    </row>
    <row r="38">
      <c r="A38" s="182" t="str">
        <f>'順位別トーナメント'!$B$38</f>
        <v>3位トーナメント</v>
      </c>
      <c r="B38" s="183" t="s">
        <v>366</v>
      </c>
      <c r="C38" s="184" t="str">
        <f>if(I36="","",  IF(J36&gt;I36, F36, C36))</f>
        <v>39</v>
      </c>
      <c r="D38" s="182" t="str">
        <f>IFERROR(VLOOKUP(C38&amp;"-"&amp;1,'リスト'!$B:$D,2,FALSE),"")</f>
        <v>盛本 貴之</v>
      </c>
      <c r="E38" s="182" t="str">
        <f>IFERROR(VLOOKUP(C38&amp;"-"&amp;2,'リスト'!$B:$D,2,FALSE),"")</f>
        <v>仲曽 真由美</v>
      </c>
      <c r="F38" s="184" t="str">
        <f>IF(I37="","", IF(J37&gt;I37, F37, C37))</f>
        <v>23</v>
      </c>
      <c r="G38" s="182" t="str">
        <f>IFERROR(VLOOKUP(F38&amp;"-"&amp;1,'リスト'!$B:$D,2,FALSE),"")</f>
        <v>朝倉 章順</v>
      </c>
      <c r="H38" s="182" t="str">
        <f>IFERROR(VLOOKUP(F38&amp;"-"&amp;2,'リスト'!$B:$D,2,FALSE),"")</f>
        <v>朝倉 加世子</v>
      </c>
      <c r="I38" s="178">
        <v>6.0</v>
      </c>
      <c r="J38" s="178">
        <v>1.0</v>
      </c>
      <c r="K38" s="182"/>
      <c r="L38" s="185" t="b">
        <v>0</v>
      </c>
    </row>
    <row r="39">
      <c r="A39" s="182" t="str">
        <f>'順位別トーナメント'!$B$56</f>
        <v>4位・5位トーナメント</v>
      </c>
      <c r="B39" s="183" t="s">
        <v>363</v>
      </c>
      <c r="C39" s="184" t="str">
        <f>IFERROR('順位別トーナメント'!B60,"")</f>
        <v>44</v>
      </c>
      <c r="D39" s="182" t="str">
        <f>IFERROR(VLOOKUP(C39&amp;"-"&amp;1,'リスト'!$B:$D,2,FALSE),"")</f>
        <v>檜垣 直斗</v>
      </c>
      <c r="E39" s="182" t="str">
        <f>IFERROR(VLOOKUP(C39&amp;"-"&amp;2,'リスト'!$B:$D,2,FALSE),"")</f>
        <v>橋本 舞子</v>
      </c>
      <c r="F39" s="184" t="str">
        <f>IFERROR('順位別トーナメント'!B62,"")</f>
        <v>24</v>
      </c>
      <c r="G39" s="182" t="str">
        <f>IFERROR(VLOOKUP(F39&amp;"-"&amp;1,'リスト'!$B:$D,2,FALSE),"")</f>
        <v>山本 和弥</v>
      </c>
      <c r="H39" s="182" t="str">
        <f>IFERROR(VLOOKUP(F39&amp;"-"&amp;2,'リスト'!$B:$D,2,FALSE),"")</f>
        <v>濱田 久美</v>
      </c>
      <c r="I39" s="178">
        <v>6.0</v>
      </c>
      <c r="J39" s="178">
        <v>1.0</v>
      </c>
      <c r="K39" s="182"/>
      <c r="L39" s="185" t="b">
        <v>0</v>
      </c>
    </row>
    <row r="40">
      <c r="A40" s="182" t="str">
        <f>'順位別トーナメント'!$B$56</f>
        <v>4位・5位トーナメント</v>
      </c>
      <c r="B40" s="183" t="s">
        <v>363</v>
      </c>
      <c r="C40" s="184" t="str">
        <f>IFERROR('順位別トーナメント'!B64,"")</f>
        <v>53</v>
      </c>
      <c r="D40" s="182" t="str">
        <f>IFERROR(VLOOKUP(C40&amp;"-"&amp;1,'リスト'!$B:$D,2,FALSE),"")</f>
        <v>吉田 拳士</v>
      </c>
      <c r="E40" s="182" t="str">
        <f>IFERROR(VLOOKUP(C40&amp;"-"&amp;2,'リスト'!$B:$D,2,FALSE),"")</f>
        <v>吉田 由乃</v>
      </c>
      <c r="F40" s="184" t="str">
        <f>IFERROR('順位別トーナメント'!B66,"")</f>
        <v>28</v>
      </c>
      <c r="G40" s="182" t="str">
        <f>IFERROR(VLOOKUP(F40&amp;"-"&amp;1,'リスト'!$B:$D,2,FALSE),"")</f>
        <v>中村 匡延</v>
      </c>
      <c r="H40" s="182" t="str">
        <f>IFERROR(VLOOKUP(F40&amp;"-"&amp;2,'リスト'!$B:$D,2,FALSE),"")</f>
        <v>伊吹 優子</v>
      </c>
      <c r="I40" s="178">
        <v>6.0</v>
      </c>
      <c r="J40" s="178">
        <v>1.0</v>
      </c>
      <c r="K40" s="182"/>
      <c r="L40" s="185" t="b">
        <v>0</v>
      </c>
    </row>
    <row r="41">
      <c r="A41" s="182" t="str">
        <f>'順位別トーナメント'!$B$56</f>
        <v>4位・5位トーナメント</v>
      </c>
      <c r="B41" s="183" t="s">
        <v>363</v>
      </c>
      <c r="C41" s="184" t="str">
        <f>IFERROR('順位別トーナメント'!B68,"")</f>
        <v>48</v>
      </c>
      <c r="D41" s="182" t="str">
        <f>IFERROR(VLOOKUP(C41&amp;"-"&amp;1,'リスト'!$B:$D,2,FALSE),"")</f>
        <v>藤田 和幸</v>
      </c>
      <c r="E41" s="182" t="str">
        <f>IFERROR(VLOOKUP(C41&amp;"-"&amp;2,'リスト'!$B:$D,2,FALSE),"")</f>
        <v>藤田 美和</v>
      </c>
      <c r="F41" s="184" t="str">
        <f>IFERROR('順位別トーナメント'!B70,"")</f>
        <v>40</v>
      </c>
      <c r="G41" s="182" t="str">
        <f>IFERROR(VLOOKUP(F41&amp;"-"&amp;1,'リスト'!$B:$D,2,FALSE),"")</f>
        <v>高木 克憲</v>
      </c>
      <c r="H41" s="182" t="str">
        <f>IFERROR(VLOOKUP(F41&amp;"-"&amp;2,'リスト'!$B:$D,2,FALSE),"")</f>
        <v>田中 好美</v>
      </c>
      <c r="I41" s="178">
        <v>6.0</v>
      </c>
      <c r="J41" s="178">
        <v>1.0</v>
      </c>
      <c r="K41" s="182"/>
      <c r="L41" s="185" t="b">
        <v>0</v>
      </c>
    </row>
    <row r="42">
      <c r="A42" s="182" t="str">
        <f>'順位別トーナメント'!$B$56</f>
        <v>4位・5位トーナメント</v>
      </c>
      <c r="B42" s="183" t="s">
        <v>363</v>
      </c>
      <c r="C42" s="184" t="str">
        <f>IFERROR('順位別トーナメント'!W58,"")</f>
        <v>32</v>
      </c>
      <c r="D42" s="182" t="str">
        <f>IFERROR(VLOOKUP(C42&amp;"-"&amp;1,'リスト'!$B:$D,2,FALSE),"")</f>
        <v>外園 真都</v>
      </c>
      <c r="E42" s="182" t="str">
        <f>IFERROR(VLOOKUP(C42&amp;"-"&amp;2,'リスト'!$B:$D,2,FALSE),"")</f>
        <v>船越 海希</v>
      </c>
      <c r="F42" s="184" t="str">
        <f>IFERROR('順位別トーナメント'!W60,"")</f>
        <v>4</v>
      </c>
      <c r="G42" s="182" t="str">
        <f>IFERROR(VLOOKUP(F42&amp;"-"&amp;1,'リスト'!$B:$D,2,FALSE),"")</f>
        <v>三宅 諒弥</v>
      </c>
      <c r="H42" s="182" t="str">
        <f>IFERROR(VLOOKUP(F42&amp;"-"&amp;2,'リスト'!$B:$D,2,FALSE),"")</f>
        <v>山本 桂</v>
      </c>
      <c r="I42" s="178">
        <v>6.0</v>
      </c>
      <c r="J42" s="178">
        <v>1.0</v>
      </c>
      <c r="K42" s="182"/>
      <c r="L42" s="185" t="b">
        <v>0</v>
      </c>
    </row>
    <row r="43">
      <c r="A43" s="177" t="str">
        <f>'順位別トーナメント'!$B$56</f>
        <v>4位・5位トーナメント</v>
      </c>
      <c r="B43" s="178" t="s">
        <v>363</v>
      </c>
      <c r="C43" s="179" t="str">
        <f>IFERROR('順位別トーナメント'!W62,"")</f>
        <v>20</v>
      </c>
      <c r="D43" s="177" t="str">
        <f>IFERROR(VLOOKUP(C43&amp;"-"&amp;1,'リスト'!$B:$D,2,FALSE),"")</f>
        <v>町田 正雄</v>
      </c>
      <c r="E43" s="177" t="str">
        <f>IFERROR(VLOOKUP(C43&amp;"-"&amp;2,'リスト'!$B:$D,2,FALSE),"")</f>
        <v>町田 聖子</v>
      </c>
      <c r="F43" s="179" t="str">
        <f>IFERROR('順位別トーナメント'!W64,"")</f>
        <v>49</v>
      </c>
      <c r="G43" s="177" t="str">
        <f>IFERROR(VLOOKUP(F43&amp;"-"&amp;1,'リスト'!$B:$D,2,FALSE),"")</f>
        <v>清水 貴志</v>
      </c>
      <c r="H43" s="177" t="str">
        <f>IFERROR(VLOOKUP(F43&amp;"-"&amp;2,'リスト'!$B:$D,2,FALSE),"")</f>
        <v>大田 陽子</v>
      </c>
      <c r="I43" s="178">
        <v>6.0</v>
      </c>
      <c r="J43" s="178">
        <v>1.0</v>
      </c>
      <c r="K43" s="177"/>
      <c r="L43" s="181" t="b">
        <v>0</v>
      </c>
    </row>
    <row r="44">
      <c r="A44" s="182" t="str">
        <f>'順位別トーナメント'!$B$56</f>
        <v>4位・5位トーナメント</v>
      </c>
      <c r="B44" s="183" t="s">
        <v>363</v>
      </c>
      <c r="C44" s="184" t="str">
        <f>IFERROR('順位別トーナメント'!W66,"")</f>
        <v>54</v>
      </c>
      <c r="D44" s="182" t="str">
        <f>IFERROR(VLOOKUP(C44&amp;"-"&amp;1,'リスト'!$B:$D,2,FALSE),"")</f>
        <v>遠藤 絢弥</v>
      </c>
      <c r="E44" s="182" t="str">
        <f>IFERROR(VLOOKUP(C44&amp;"-"&amp;2,'リスト'!$B:$D,2,FALSE),"")</f>
        <v>遠藤 夏希</v>
      </c>
      <c r="F44" s="184" t="str">
        <f>IFERROR('順位別トーナメント'!W68,"")</f>
        <v>16</v>
      </c>
      <c r="G44" s="182" t="str">
        <f>IFERROR(VLOOKUP(F44&amp;"-"&amp;1,'リスト'!$B:$D,2,FALSE),"")</f>
        <v>羽馬 由和</v>
      </c>
      <c r="H44" s="182" t="str">
        <f>IFERROR(VLOOKUP(F44&amp;"-"&amp;2,'リスト'!$B:$D,2,FALSE),"")</f>
        <v>杉原 三奈</v>
      </c>
      <c r="I44" s="178">
        <v>6.0</v>
      </c>
      <c r="J44" s="178">
        <v>1.0</v>
      </c>
      <c r="K44" s="182"/>
      <c r="L44" s="185" t="b">
        <v>0</v>
      </c>
    </row>
    <row r="45">
      <c r="A45" s="182" t="str">
        <f>'順位別トーナメント'!$B$56</f>
        <v>4位・5位トーナメント</v>
      </c>
      <c r="B45" s="183" t="s">
        <v>363</v>
      </c>
      <c r="C45" s="184" t="str">
        <f>IFERROR('順位別トーナメント'!W70,"")</f>
        <v>36</v>
      </c>
      <c r="D45" s="182" t="str">
        <f>IFERROR(VLOOKUP(C45&amp;"-"&amp;1,'リスト'!$B:$D,2,FALSE),"")</f>
        <v>西口 幸雄</v>
      </c>
      <c r="E45" s="182" t="str">
        <f>IFERROR(VLOOKUP(C45&amp;"-"&amp;2,'リスト'!$B:$D,2,FALSE),"")</f>
        <v>西口 栄子</v>
      </c>
      <c r="F45" s="184" t="str">
        <f>IFERROR('順位別トーナメント'!W72,"")</f>
        <v>8</v>
      </c>
      <c r="G45" s="182" t="str">
        <f>IFERROR(VLOOKUP(F45&amp;"-"&amp;1,'リスト'!$B:$D,2,FALSE),"")</f>
        <v>津田 智広</v>
      </c>
      <c r="H45" s="182" t="str">
        <f>IFERROR(VLOOKUP(F45&amp;"-"&amp;2,'リスト'!$B:$D,2,FALSE),"")</f>
        <v>米谷 さおり</v>
      </c>
      <c r="I45" s="178">
        <v>6.0</v>
      </c>
      <c r="J45" s="178">
        <v>1.0</v>
      </c>
      <c r="K45" s="182"/>
      <c r="L45" s="185" t="b">
        <v>0</v>
      </c>
    </row>
    <row r="46">
      <c r="A46" s="182" t="str">
        <f>'順位別トーナメント'!$B$56</f>
        <v>4位・5位トーナメント</v>
      </c>
      <c r="B46" s="183" t="s">
        <v>364</v>
      </c>
      <c r="C46" s="184" t="str">
        <f>IFERROR('順位別トーナメント'!B58,"")</f>
        <v/>
      </c>
      <c r="D46" s="182" t="str">
        <f>IFERROR(VLOOKUP(C46&amp;"-"&amp;1,'リスト'!$B:$D,2,FALSE),"")</f>
        <v/>
      </c>
      <c r="E46" s="182" t="str">
        <f>IFERROR(VLOOKUP(C46&amp;"-"&amp;2,'リスト'!$B:$D,2,FALSE),"")</f>
        <v/>
      </c>
      <c r="F46" s="184" t="str">
        <f>IF(I39="","", IF(J39&gt;I39, F39, C39))</f>
        <v>44</v>
      </c>
      <c r="G46" s="182" t="str">
        <f>IFERROR(VLOOKUP(F46&amp;"-"&amp;1,'リスト'!$B:$D,2,FALSE),"")</f>
        <v>檜垣 直斗</v>
      </c>
      <c r="H46" s="182" t="str">
        <f>IFERROR(VLOOKUP(F46&amp;"-"&amp;2,'リスト'!$B:$D,2,FALSE),"")</f>
        <v>橋本 舞子</v>
      </c>
      <c r="I46" s="178">
        <v>6.0</v>
      </c>
      <c r="J46" s="178">
        <v>1.0</v>
      </c>
      <c r="K46" s="182"/>
      <c r="L46" s="185" t="b">
        <v>0</v>
      </c>
    </row>
    <row r="47">
      <c r="A47" s="182" t="str">
        <f>'順位別トーナメント'!$B$56</f>
        <v>4位・5位トーナメント</v>
      </c>
      <c r="B47" s="183" t="s">
        <v>364</v>
      </c>
      <c r="C47" s="184" t="str">
        <f>if(I40="","",  IF(J40&gt;I40, F40, C40))</f>
        <v>53</v>
      </c>
      <c r="D47" s="182" t="str">
        <f>IFERROR(VLOOKUP(C47&amp;"-"&amp;1,'リスト'!$B:$D,2,FALSE),"")</f>
        <v>吉田 拳士</v>
      </c>
      <c r="E47" s="182" t="str">
        <f>IFERROR(VLOOKUP(C47&amp;"-"&amp;2,'リスト'!$B:$D,2,FALSE),"")</f>
        <v>吉田 由乃</v>
      </c>
      <c r="F47" s="184" t="str">
        <f>IF(I41="","", IF(J41&gt;I41, F41, C41))</f>
        <v>48</v>
      </c>
      <c r="G47" s="182" t="str">
        <f>IFERROR(VLOOKUP(F47&amp;"-"&amp;1,'リスト'!$B:$D,2,FALSE),"")</f>
        <v>藤田 和幸</v>
      </c>
      <c r="H47" s="182" t="str">
        <f>IFERROR(VLOOKUP(F47&amp;"-"&amp;2,'リスト'!$B:$D,2,FALSE),"")</f>
        <v>藤田 美和</v>
      </c>
      <c r="I47" s="183">
        <v>4.0</v>
      </c>
      <c r="J47" s="183">
        <v>6.0</v>
      </c>
      <c r="K47" s="182"/>
      <c r="L47" s="185" t="b">
        <v>0</v>
      </c>
    </row>
    <row r="48">
      <c r="A48" s="182" t="str">
        <f>'順位別トーナメント'!$B$56</f>
        <v>4位・5位トーナメント</v>
      </c>
      <c r="B48" s="183" t="s">
        <v>364</v>
      </c>
      <c r="C48" s="184" t="str">
        <f>if(I42="","",  IF(J42&gt;I42, F42, C42))</f>
        <v>32</v>
      </c>
      <c r="D48" s="182" t="str">
        <f>IFERROR(VLOOKUP(C48&amp;"-"&amp;1,'リスト'!$B:$D,2,FALSE),"")</f>
        <v>外園 真都</v>
      </c>
      <c r="E48" s="182" t="str">
        <f>IFERROR(VLOOKUP(C48&amp;"-"&amp;2,'リスト'!$B:$D,2,FALSE),"")</f>
        <v>船越 海希</v>
      </c>
      <c r="F48" s="184" t="str">
        <f>IF(I43="","", IF(J43&gt;I43, F43, C43))</f>
        <v>20</v>
      </c>
      <c r="G48" s="182" t="str">
        <f>IFERROR(VLOOKUP(F48&amp;"-"&amp;1,'リスト'!$B:$D,2,FALSE),"")</f>
        <v>町田 正雄</v>
      </c>
      <c r="H48" s="182" t="str">
        <f>IFERROR(VLOOKUP(F48&amp;"-"&amp;2,'リスト'!$B:$D,2,FALSE),"")</f>
        <v>町田 聖子</v>
      </c>
      <c r="I48" s="183">
        <v>7.0</v>
      </c>
      <c r="J48" s="183">
        <v>6.0</v>
      </c>
      <c r="K48" s="182"/>
      <c r="L48" s="185" t="b">
        <v>0</v>
      </c>
    </row>
    <row r="49">
      <c r="A49" s="182" t="str">
        <f>'順位別トーナメント'!$B$56</f>
        <v>4位・5位トーナメント</v>
      </c>
      <c r="B49" s="183" t="s">
        <v>364</v>
      </c>
      <c r="C49" s="184" t="str">
        <f>if(I44="","",  IF(J44&gt;I44, F44, C44))</f>
        <v>54</v>
      </c>
      <c r="D49" s="182" t="str">
        <f>IFERROR(VLOOKUP(C49&amp;"-"&amp;1,'リスト'!$B:$D,2,FALSE),"")</f>
        <v>遠藤 絢弥</v>
      </c>
      <c r="E49" s="182" t="str">
        <f>IFERROR(VLOOKUP(C49&amp;"-"&amp;2,'リスト'!$B:$D,2,FALSE),"")</f>
        <v>遠藤 夏希</v>
      </c>
      <c r="F49" s="184" t="str">
        <f>IF(I45="","", IF(J45&gt;I45, F45, C45))</f>
        <v>36</v>
      </c>
      <c r="G49" s="182" t="str">
        <f>IFERROR(VLOOKUP(F49&amp;"-"&amp;1,'リスト'!$B:$D,2,FALSE),"")</f>
        <v>西口 幸雄</v>
      </c>
      <c r="H49" s="182" t="str">
        <f>IFERROR(VLOOKUP(F49&amp;"-"&amp;2,'リスト'!$B:$D,2,FALSE),"")</f>
        <v>西口 栄子</v>
      </c>
      <c r="I49" s="183">
        <v>6.0</v>
      </c>
      <c r="J49" s="183">
        <v>7.0</v>
      </c>
      <c r="K49" s="182"/>
      <c r="L49" s="185" t="b">
        <v>0</v>
      </c>
    </row>
    <row r="50">
      <c r="A50" s="182" t="str">
        <f>'順位別トーナメント'!$B$56</f>
        <v>4位・5位トーナメント</v>
      </c>
      <c r="B50" s="183" t="s">
        <v>365</v>
      </c>
      <c r="C50" s="184" t="str">
        <f>if(I46="","",  IF(J46&gt;I46, F46, C46))</f>
        <v/>
      </c>
      <c r="D50" s="182" t="str">
        <f>IFERROR(VLOOKUP(C50&amp;"-"&amp;1,'リスト'!$B:$D,2,FALSE),"")</f>
        <v/>
      </c>
      <c r="E50" s="182" t="str">
        <f>IFERROR(VLOOKUP(C50&amp;"-"&amp;2,'リスト'!$B:$D,2,FALSE),"")</f>
        <v/>
      </c>
      <c r="F50" s="184" t="str">
        <f>IF(I46="","", IF(J47&gt;I47, F47, C47))</f>
        <v>48</v>
      </c>
      <c r="G50" s="182" t="str">
        <f>IFERROR(VLOOKUP(F50&amp;"-"&amp;1,'リスト'!$B:$D,2,FALSE),"")</f>
        <v>藤田 和幸</v>
      </c>
      <c r="H50" s="182" t="str">
        <f>IFERROR(VLOOKUP(F50&amp;"-"&amp;2,'リスト'!$B:$D,2,FALSE),"")</f>
        <v>藤田 美和</v>
      </c>
      <c r="I50" s="183">
        <v>3.0</v>
      </c>
      <c r="J50" s="183">
        <v>6.0</v>
      </c>
      <c r="K50" s="182"/>
      <c r="L50" s="185" t="b">
        <v>0</v>
      </c>
    </row>
    <row r="51">
      <c r="A51" s="182" t="str">
        <f>'順位別トーナメント'!$B$56</f>
        <v>4位・5位トーナメント</v>
      </c>
      <c r="B51" s="183" t="s">
        <v>365</v>
      </c>
      <c r="C51" s="184" t="str">
        <f>if(I48="","",  IF(J48&gt;I48, F48, C48))</f>
        <v>32</v>
      </c>
      <c r="D51" s="182" t="str">
        <f>IFERROR(VLOOKUP(C51&amp;"-"&amp;1,'リスト'!$B:$D,2,FALSE),"")</f>
        <v>外園 真都</v>
      </c>
      <c r="E51" s="182" t="str">
        <f>IFERROR(VLOOKUP(C51&amp;"-"&amp;2,'リスト'!$B:$D,2,FALSE),"")</f>
        <v>船越 海希</v>
      </c>
      <c r="F51" s="184" t="str">
        <f>IF(J49&gt;I49, F49, C49)</f>
        <v>36</v>
      </c>
      <c r="G51" s="182" t="str">
        <f>IFERROR(VLOOKUP(F51&amp;"-"&amp;1,'リスト'!$B:$D,2,FALSE),"")</f>
        <v>西口 幸雄</v>
      </c>
      <c r="H51" s="182" t="str">
        <f>IFERROR(VLOOKUP(F51&amp;"-"&amp;2,'リスト'!$B:$D,2,FALSE),"")</f>
        <v>西口 栄子</v>
      </c>
      <c r="I51" s="183">
        <v>6.0</v>
      </c>
      <c r="J51" s="183">
        <v>7.0</v>
      </c>
      <c r="K51" s="182"/>
      <c r="L51" s="185" t="b">
        <v>0</v>
      </c>
    </row>
    <row r="52">
      <c r="A52" s="182" t="str">
        <f>'順位別トーナメント'!$B$56</f>
        <v>4位・5位トーナメント</v>
      </c>
      <c r="B52" s="183" t="s">
        <v>366</v>
      </c>
      <c r="C52" s="184" t="str">
        <f>if(I50="","",  IF(J50&gt;I50, F50, C50))</f>
        <v>48</v>
      </c>
      <c r="D52" s="182" t="str">
        <f>IFERROR(VLOOKUP(C52&amp;"-"&amp;1,'リスト'!$B:$D,2,FALSE),"")</f>
        <v>藤田 和幸</v>
      </c>
      <c r="E52" s="182" t="str">
        <f>IFERROR(VLOOKUP(C52&amp;"-"&amp;2,'リスト'!$B:$D,2,FALSE),"")</f>
        <v>藤田 美和</v>
      </c>
      <c r="F52" s="184" t="str">
        <f>IF(I51="","", IF(J51&gt;I51, F51, C51))</f>
        <v>36</v>
      </c>
      <c r="G52" s="182" t="str">
        <f>IFERROR(VLOOKUP(F52&amp;"-"&amp;1,'リスト'!$B:$D,2,FALSE),"")</f>
        <v>西口 幸雄</v>
      </c>
      <c r="H52" s="182" t="str">
        <f>IFERROR(VLOOKUP(F52&amp;"-"&amp;2,'リスト'!$B:$D,2,FALSE),"")</f>
        <v>西口 栄子</v>
      </c>
      <c r="I52" s="183">
        <v>6.0</v>
      </c>
      <c r="J52" s="183">
        <v>7.0</v>
      </c>
      <c r="K52" s="182"/>
      <c r="L52" s="185" t="b">
        <v>0</v>
      </c>
    </row>
  </sheetData>
  <autoFilter ref="$A$2:$K$52"/>
  <mergeCells count="4">
    <mergeCell ref="A1:B1"/>
    <mergeCell ref="I1:K1"/>
    <mergeCell ref="D2:E2"/>
    <mergeCell ref="G2:H2"/>
  </mergeCells>
  <conditionalFormatting sqref="A3:L52">
    <cfRule type="expression" dxfId="0" priority="1">
      <formula>OR($D3="", $G3="")</formula>
    </cfRule>
  </conditionalFormatting>
  <conditionalFormatting sqref="A3:L52">
    <cfRule type="expression" dxfId="1" priority="2">
      <formula>$L3=true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3.57"/>
    <col customWidth="1" min="3" max="3" width="13.0"/>
    <col customWidth="1" min="4" max="4" width="1.86"/>
    <col customWidth="1" min="5" max="5" width="12.29"/>
    <col customWidth="1" min="6" max="6" width="1.86"/>
    <col customWidth="1" min="7" max="23" width="3.71"/>
    <col customWidth="1" min="24" max="24" width="13.0"/>
    <col customWidth="1" min="25" max="25" width="1.86"/>
    <col customWidth="1" min="26" max="26" width="12.29"/>
    <col customWidth="1" min="27" max="27" width="1.86"/>
    <col customWidth="1" min="28" max="28" width="2.57"/>
  </cols>
  <sheetData>
    <row r="1">
      <c r="A1" s="186"/>
      <c r="B1" s="187"/>
      <c r="C1" s="187"/>
      <c r="D1" s="187"/>
      <c r="E1" s="188"/>
      <c r="F1" s="187"/>
      <c r="G1" s="187"/>
      <c r="H1" s="187"/>
      <c r="I1" s="187"/>
      <c r="J1" s="187"/>
      <c r="K1" s="187"/>
      <c r="L1" s="187"/>
      <c r="M1" s="189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1"/>
      <c r="AA1" s="190"/>
      <c r="AB1" s="189"/>
    </row>
    <row r="2">
      <c r="A2" s="186"/>
      <c r="B2" s="192" t="s">
        <v>367</v>
      </c>
      <c r="C2" s="193"/>
      <c r="D2" s="193"/>
      <c r="E2" s="193"/>
      <c r="F2" s="193"/>
      <c r="G2" s="193"/>
      <c r="H2" s="193"/>
      <c r="I2" s="193"/>
      <c r="J2" s="193"/>
      <c r="K2" s="193"/>
      <c r="L2" s="194"/>
      <c r="M2" s="189"/>
      <c r="N2" s="76" t="str">
        <f>TRIM('予選'!$A$1)</f>
        <v>　 　　　　　 サンプル</v>
      </c>
      <c r="AA2" s="190"/>
      <c r="AB2" s="189"/>
    </row>
    <row r="3">
      <c r="A3" s="195"/>
      <c r="B3" s="195"/>
      <c r="C3" s="195"/>
      <c r="D3" s="195"/>
      <c r="E3" s="196"/>
      <c r="F3" s="195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5"/>
      <c r="T3" s="195"/>
      <c r="U3" s="195"/>
      <c r="W3" s="195"/>
      <c r="Z3" s="198"/>
    </row>
    <row r="4" ht="26.25" customHeight="1">
      <c r="A4" s="199"/>
      <c r="B4" s="200">
        <v>1.0</v>
      </c>
      <c r="C4" s="199" t="str">
        <f>IFERROR(VLOOKUP(B4&amp;"-"&amp;1,'リスト'!$B:$D,2,FALSE),"")</f>
        <v>藤田 智博</v>
      </c>
      <c r="D4" s="199" t="s">
        <v>368</v>
      </c>
      <c r="E4" s="201" t="str">
        <f>IFERROR(VLOOKUP(B4&amp;"-"&amp;1,'リスト'!$B:$D,3,FALSE),"")</f>
        <v>Love ALL</v>
      </c>
      <c r="F4" s="199" t="s">
        <v>369</v>
      </c>
      <c r="G4" s="202" t="s">
        <v>370</v>
      </c>
      <c r="H4" s="203"/>
      <c r="I4" s="204"/>
      <c r="J4" s="205"/>
      <c r="K4" s="205"/>
      <c r="L4" s="205"/>
      <c r="M4" s="205"/>
      <c r="N4" s="206"/>
      <c r="O4" s="206"/>
      <c r="P4" s="207"/>
      <c r="Q4" s="207"/>
      <c r="R4" s="207"/>
      <c r="S4" s="208"/>
      <c r="T4" s="208"/>
      <c r="U4" s="209"/>
      <c r="V4" s="202" t="s">
        <v>371</v>
      </c>
      <c r="W4" s="200">
        <v>29.0</v>
      </c>
      <c r="X4" s="199" t="str">
        <f>IFERROR(VLOOKUP(W4&amp;"-"&amp;1,'リスト'!$B:$D,2,FALSE),"")</f>
        <v>小川 拓</v>
      </c>
      <c r="Y4" s="199" t="s">
        <v>368</v>
      </c>
      <c r="Z4" s="201" t="str">
        <f>IFERROR(VLOOKUP(W4&amp;"-"&amp;1,'リスト'!$B:$D,3,FALSE),"")</f>
        <v>プラセール</v>
      </c>
      <c r="AA4" s="199" t="s">
        <v>369</v>
      </c>
    </row>
    <row r="5" ht="26.25" customHeight="1">
      <c r="A5" s="199"/>
      <c r="C5" s="210" t="str">
        <f>IFERROR(VLOOKUP(B4&amp;"-"&amp;2,'リスト'!$B:$D,2,FALSE),"")</f>
        <v>山根 陽子</v>
      </c>
      <c r="D5" s="210" t="s">
        <v>368</v>
      </c>
      <c r="E5" s="211" t="str">
        <f>IFERROR(VLOOKUP(B4&amp;"-"&amp;2,'リスト'!$B:$D,3,FALSE),"")</f>
        <v>フリー</v>
      </c>
      <c r="F5" s="210" t="s">
        <v>369</v>
      </c>
      <c r="G5" s="212"/>
      <c r="H5" s="213"/>
      <c r="I5" s="214"/>
      <c r="J5" s="215"/>
      <c r="K5" s="216">
        <f>'対戦順'!I8</f>
        <v>4</v>
      </c>
      <c r="L5" s="205"/>
      <c r="M5" s="205"/>
      <c r="N5" s="206"/>
      <c r="O5" s="206"/>
      <c r="P5" s="207"/>
      <c r="Q5" s="207"/>
      <c r="R5" s="217">
        <f>'対戦順'!I10</f>
        <v>4</v>
      </c>
      <c r="S5" s="218"/>
      <c r="T5" s="219"/>
      <c r="U5" s="220"/>
      <c r="V5" s="221"/>
      <c r="X5" s="210" t="str">
        <f>IFERROR(VLOOKUP(W4&amp;"-"&amp;2,'リスト'!$B:$D,2,FALSE),"")</f>
        <v>山内 恵子</v>
      </c>
      <c r="Y5" s="210" t="s">
        <v>368</v>
      </c>
      <c r="Z5" s="211" t="str">
        <f>IFERROR(VLOOKUP(W4&amp;"-"&amp;2,'リスト'!$B:$D,3,FALSE),"")</f>
        <v>プラセール</v>
      </c>
      <c r="AA5" s="210" t="s">
        <v>369</v>
      </c>
    </row>
    <row r="6" ht="26.25" customHeight="1">
      <c r="A6" s="199"/>
      <c r="B6" s="200">
        <v>5.0</v>
      </c>
      <c r="C6" s="199" t="str">
        <f>IFERROR(VLOOKUP(B6&amp;"-"&amp;1,'リスト'!$B:$D,2,FALSE),"")</f>
        <v>常村 和仁</v>
      </c>
      <c r="D6" s="199" t="s">
        <v>368</v>
      </c>
      <c r="E6" s="201" t="str">
        <f>IFERROR(VLOOKUP(B6&amp;"-"&amp;1,'リスト'!$B:$D,3,FALSE),"")</f>
        <v>完熟オレンジ</v>
      </c>
      <c r="F6" s="199" t="s">
        <v>369</v>
      </c>
      <c r="G6" s="202" t="s">
        <v>372</v>
      </c>
      <c r="H6" s="206"/>
      <c r="I6" s="205"/>
      <c r="J6" s="205"/>
      <c r="K6" s="222">
        <f>'対戦順'!J8</f>
        <v>6</v>
      </c>
      <c r="L6" s="215"/>
      <c r="M6" s="205"/>
      <c r="N6" s="206"/>
      <c r="O6" s="206"/>
      <c r="P6" s="207"/>
      <c r="Q6" s="223"/>
      <c r="R6" s="224">
        <f>'対戦順'!J10</f>
        <v>6</v>
      </c>
      <c r="S6" s="208"/>
      <c r="T6" s="208"/>
      <c r="U6" s="209"/>
      <c r="V6" s="202" t="s">
        <v>373</v>
      </c>
      <c r="W6" s="200">
        <v>33.0</v>
      </c>
      <c r="X6" s="199" t="str">
        <f>IFERROR(VLOOKUP(W6&amp;"-"&amp;1,'リスト'!$B:$D,2,FALSE),"")</f>
        <v>山口 辰之</v>
      </c>
      <c r="Y6" s="199" t="s">
        <v>368</v>
      </c>
      <c r="Z6" s="201" t="str">
        <f>IFERROR(VLOOKUP(W6&amp;"-"&amp;1,'リスト'!$B:$D,3,FALSE),"")</f>
        <v>サニーＴＳ</v>
      </c>
      <c r="AA6" s="199" t="s">
        <v>369</v>
      </c>
    </row>
    <row r="7" ht="26.25" customHeight="1">
      <c r="A7" s="199"/>
      <c r="C7" s="210" t="str">
        <f>IFERROR(VLOOKUP(B6&amp;"-"&amp;2,'リスト'!$B:$D,2,FALSE),"")</f>
        <v>前田 良枝</v>
      </c>
      <c r="D7" s="210" t="s">
        <v>368</v>
      </c>
      <c r="E7" s="211" t="str">
        <f>IFERROR(VLOOKUP(B6&amp;"-"&amp;2,'リスト'!$B:$D,3,FALSE),"")</f>
        <v>Ｚｏｎｅ</v>
      </c>
      <c r="F7" s="210" t="s">
        <v>369</v>
      </c>
      <c r="G7" s="212"/>
      <c r="H7" s="225"/>
      <c r="I7" s="226">
        <f>'対戦順'!I3</f>
        <v>6</v>
      </c>
      <c r="J7" s="204"/>
      <c r="K7" s="227"/>
      <c r="L7" s="228"/>
      <c r="M7" s="205"/>
      <c r="N7" s="206"/>
      <c r="O7" s="206"/>
      <c r="P7" s="207"/>
      <c r="Q7" s="229"/>
      <c r="R7" s="230"/>
      <c r="S7" s="208"/>
      <c r="T7" s="231">
        <f>'対戦順'!I6</f>
        <v>4</v>
      </c>
      <c r="U7" s="232"/>
      <c r="V7" s="221"/>
      <c r="X7" s="210" t="str">
        <f>IFERROR(VLOOKUP(W6&amp;"-"&amp;2,'リスト'!$B:$D,2,FALSE),"")</f>
        <v>宮本 真有</v>
      </c>
      <c r="Y7" s="210" t="s">
        <v>368</v>
      </c>
      <c r="Z7" s="211" t="str">
        <f>IFERROR(VLOOKUP(W6&amp;"-"&amp;2,'リスト'!$B:$D,3,FALSE),"")</f>
        <v>デネブ</v>
      </c>
      <c r="AA7" s="210" t="s">
        <v>369</v>
      </c>
    </row>
    <row r="8" ht="26.25" customHeight="1">
      <c r="A8" s="199"/>
      <c r="B8" s="200">
        <v>9.0</v>
      </c>
      <c r="C8" s="199" t="str">
        <f>IFERROR(VLOOKUP(B8&amp;"-"&amp;1,'リスト'!$B:$D,2,FALSE),"")</f>
        <v>近藤 哲生</v>
      </c>
      <c r="D8" s="199" t="s">
        <v>368</v>
      </c>
      <c r="E8" s="201" t="str">
        <f>IFERROR(VLOOKUP(B8&amp;"-"&amp;1,'リスト'!$B:$D,3,FALSE),"")</f>
        <v>因幡打輪</v>
      </c>
      <c r="F8" s="199" t="s">
        <v>369</v>
      </c>
      <c r="G8" s="202" t="s">
        <v>374</v>
      </c>
      <c r="H8" s="233"/>
      <c r="I8" s="234">
        <f>'対戦順'!J3</f>
        <v>3</v>
      </c>
      <c r="J8" s="205"/>
      <c r="K8" s="205"/>
      <c r="L8" s="205"/>
      <c r="M8" s="235" t="str">
        <f>IFERROR(　IF('対戦順'!I14&gt;'対戦順'!J14, LEFT('対戦順'!D14,FIND(" ",'対戦順'!D14)-1)&amp;"・"&amp;LEFT('対戦順'!E14,FIND(" ",'対戦順'!E14)-1), LEFT('対戦順'!G14,FIND(" ",'対戦順'!G14)-1)&amp;"・"&amp;LEFT('対戦順'!H14,FIND(" ",'対戦順'!H14)-1)),"")</f>
        <v>竹安・楠瀬</v>
      </c>
      <c r="P8" s="31"/>
      <c r="Q8" s="207"/>
      <c r="R8" s="207"/>
      <c r="S8" s="219"/>
      <c r="T8" s="236">
        <f>'対戦順'!J6</f>
        <v>6</v>
      </c>
      <c r="U8" s="237"/>
      <c r="V8" s="202" t="s">
        <v>375</v>
      </c>
      <c r="W8" s="200">
        <v>37.0</v>
      </c>
      <c r="X8" s="199" t="str">
        <f>IFERROR(VLOOKUP(W8&amp;"-"&amp;1,'リスト'!$B:$D,2,FALSE),"")</f>
        <v>細川 善貴</v>
      </c>
      <c r="Y8" s="199" t="s">
        <v>368</v>
      </c>
      <c r="Z8" s="201" t="str">
        <f>IFERROR(VLOOKUP(W8&amp;"-"&amp;1,'リスト'!$B:$D,3,FALSE),"")</f>
        <v>ｄｏＭｅ</v>
      </c>
      <c r="AA8" s="199" t="s">
        <v>369</v>
      </c>
    </row>
    <row r="9" ht="26.25" customHeight="1">
      <c r="A9" s="199"/>
      <c r="C9" s="210" t="str">
        <f>IFERROR(VLOOKUP(B8&amp;"-"&amp;2,'リスト'!$B:$D,2,FALSE),"")</f>
        <v>前田 陽子</v>
      </c>
      <c r="D9" s="210" t="s">
        <v>368</v>
      </c>
      <c r="E9" s="211" t="str">
        <f>IFERROR(VLOOKUP(B8&amp;"-"&amp;2,'リスト'!$B:$D,3,FALSE),"")</f>
        <v>フリー</v>
      </c>
      <c r="F9" s="210" t="s">
        <v>369</v>
      </c>
      <c r="G9" s="238"/>
      <c r="H9" s="206"/>
      <c r="I9" s="205"/>
      <c r="J9" s="205"/>
      <c r="K9" s="205"/>
      <c r="L9" s="205"/>
      <c r="M9" s="239" t="str">
        <f>'対戦順'!I14&amp;"-"&amp;'対戦順'!J14</f>
        <v>4-6</v>
      </c>
      <c r="P9" s="31"/>
      <c r="Q9" s="207"/>
      <c r="R9" s="207"/>
      <c r="S9" s="208"/>
      <c r="T9" s="208"/>
      <c r="U9" s="209"/>
      <c r="V9" s="240"/>
      <c r="X9" s="210" t="str">
        <f>IFERROR(VLOOKUP(W8&amp;"-"&amp;2,'リスト'!$B:$D,2,FALSE),"")</f>
        <v>厨子 沙也香</v>
      </c>
      <c r="Y9" s="210" t="s">
        <v>368</v>
      </c>
      <c r="Z9" s="211" t="str">
        <f>IFERROR(VLOOKUP(W8&amp;"-"&amp;2,'リスト'!$B:$D,3,FALSE),"")</f>
        <v>フリー</v>
      </c>
      <c r="AA9" s="210" t="s">
        <v>369</v>
      </c>
    </row>
    <row r="10" ht="26.25" customHeight="1">
      <c r="A10" s="199"/>
      <c r="B10" s="200">
        <v>13.0</v>
      </c>
      <c r="C10" s="199" t="str">
        <f>IFERROR(VLOOKUP(B10&amp;"-"&amp;1,'リスト'!$B:$D,2,FALSE),"")</f>
        <v>小谷 桂介</v>
      </c>
      <c r="D10" s="199" t="s">
        <v>368</v>
      </c>
      <c r="E10" s="201" t="str">
        <f>IFERROR(VLOOKUP(B10&amp;"-"&amp;1,'リスト'!$B:$D,3,FALSE),"")</f>
        <v>Ｔ-nuts</v>
      </c>
      <c r="F10" s="199" t="s">
        <v>369</v>
      </c>
      <c r="G10" s="202" t="s">
        <v>376</v>
      </c>
      <c r="H10" s="206"/>
      <c r="I10" s="205"/>
      <c r="J10" s="205"/>
      <c r="K10" s="205"/>
      <c r="L10" s="205"/>
      <c r="M10" s="241">
        <f>'対戦順'!I12</f>
        <v>4</v>
      </c>
      <c r="N10" s="203"/>
      <c r="O10" s="242"/>
      <c r="P10" s="243">
        <f>'対戦順'!I13</f>
        <v>4</v>
      </c>
      <c r="Q10" s="207"/>
      <c r="R10" s="207"/>
      <c r="S10" s="208"/>
      <c r="T10" s="244"/>
      <c r="U10" s="209"/>
      <c r="V10" s="245" t="s">
        <v>377</v>
      </c>
      <c r="W10" s="200">
        <v>41.0</v>
      </c>
      <c r="X10" s="199" t="str">
        <f>IFERROR(VLOOKUP(W10&amp;"-"&amp;1,'リスト'!$B:$D,2,FALSE),"")</f>
        <v>丸川 康生</v>
      </c>
      <c r="Y10" s="199" t="s">
        <v>368</v>
      </c>
      <c r="Z10" s="201" t="str">
        <f>IFERROR(VLOOKUP(W10&amp;"-"&amp;1,'リスト'!$B:$D,3,FALSE),"")</f>
        <v>因幡打輪</v>
      </c>
      <c r="AA10" s="199" t="s">
        <v>369</v>
      </c>
    </row>
    <row r="11" ht="26.25" customHeight="1">
      <c r="A11" s="199"/>
      <c r="C11" s="210" t="str">
        <f>IFERROR(VLOOKUP(B10&amp;"-"&amp;2,'リスト'!$B:$D,2,FALSE),"")</f>
        <v>小谷 佐知子</v>
      </c>
      <c r="D11" s="210" t="s">
        <v>368</v>
      </c>
      <c r="E11" s="211" t="str">
        <f>IFERROR(VLOOKUP(B10&amp;"-"&amp;2,'リスト'!$B:$D,3,FALSE),"")</f>
        <v>Ｔ-nuts</v>
      </c>
      <c r="F11" s="210" t="s">
        <v>369</v>
      </c>
      <c r="G11" s="212"/>
      <c r="H11" s="225"/>
      <c r="I11" s="216">
        <f>'対戦順'!I4</f>
        <v>3</v>
      </c>
      <c r="J11" s="205"/>
      <c r="K11" s="205"/>
      <c r="L11" s="228"/>
      <c r="M11" s="234">
        <f>'対戦順'!J12</f>
        <v>6</v>
      </c>
      <c r="N11" s="246"/>
      <c r="O11" s="246"/>
      <c r="P11" s="247">
        <f>'対戦順'!J13</f>
        <v>6</v>
      </c>
      <c r="Q11" s="229"/>
      <c r="R11" s="207"/>
      <c r="S11" s="248"/>
      <c r="T11" s="249">
        <f>'対戦順'!I7</f>
        <v>4</v>
      </c>
      <c r="U11" s="220"/>
      <c r="V11" s="221"/>
      <c r="X11" s="210" t="str">
        <f>IFERROR(VLOOKUP(W10&amp;"-"&amp;2,'リスト'!$B:$D,2,FALSE),"")</f>
        <v>山根 崇子</v>
      </c>
      <c r="Y11" s="210" t="s">
        <v>368</v>
      </c>
      <c r="Z11" s="211" t="str">
        <f>IFERROR(VLOOKUP(W10&amp;"-"&amp;2,'リスト'!$B:$D,3,FALSE),"")</f>
        <v>フリー</v>
      </c>
      <c r="AA11" s="210" t="s">
        <v>369</v>
      </c>
    </row>
    <row r="12" ht="26.25" customHeight="1">
      <c r="A12" s="199"/>
      <c r="B12" s="200">
        <v>17.0</v>
      </c>
      <c r="C12" s="199" t="str">
        <f>IFERROR(VLOOKUP(B12&amp;"-"&amp;1,'リスト'!$B:$D,2,FALSE),"")</f>
        <v>谷本 卓也</v>
      </c>
      <c r="D12" s="199" t="s">
        <v>368</v>
      </c>
      <c r="E12" s="201" t="str">
        <f>IFERROR(VLOOKUP(B12&amp;"-"&amp;1,'リスト'!$B:$D,3,FALSE),"")</f>
        <v>ｄｏＭｅ</v>
      </c>
      <c r="F12" s="199" t="s">
        <v>369</v>
      </c>
      <c r="G12" s="202" t="s">
        <v>378</v>
      </c>
      <c r="H12" s="233"/>
      <c r="I12" s="250">
        <f>'対戦順'!J4</f>
        <v>6</v>
      </c>
      <c r="J12" s="215"/>
      <c r="K12" s="205"/>
      <c r="L12" s="228"/>
      <c r="M12" s="205"/>
      <c r="N12" s="206"/>
      <c r="O12" s="206"/>
      <c r="P12" s="251"/>
      <c r="Q12" s="229"/>
      <c r="R12" s="230"/>
      <c r="S12" s="208"/>
      <c r="T12" s="252">
        <f>'対戦順'!J7</f>
        <v>6</v>
      </c>
      <c r="U12" s="237"/>
      <c r="V12" s="253" t="s">
        <v>379</v>
      </c>
      <c r="W12" s="200">
        <v>45.0</v>
      </c>
      <c r="X12" s="199" t="str">
        <f>IFERROR(VLOOKUP(W12&amp;"-"&amp;1,'リスト'!$B:$D,2,FALSE),"")</f>
        <v>小椋 浩二</v>
      </c>
      <c r="Y12" s="199" t="s">
        <v>368</v>
      </c>
      <c r="Z12" s="201" t="str">
        <f>IFERROR(VLOOKUP(W12&amp;"-"&amp;1,'リスト'!$B:$D,3,FALSE),"")</f>
        <v>てーくおふ</v>
      </c>
      <c r="AA12" s="199" t="s">
        <v>369</v>
      </c>
    </row>
    <row r="13" ht="26.25" customHeight="1">
      <c r="A13" s="199"/>
      <c r="C13" s="210" t="str">
        <f>IFERROR(VLOOKUP(B12&amp;"-"&amp;2,'リスト'!$B:$D,2,FALSE),"")</f>
        <v>谷口 圭子</v>
      </c>
      <c r="D13" s="210" t="s">
        <v>368</v>
      </c>
      <c r="E13" s="211" t="str">
        <f>IFERROR(VLOOKUP(B12&amp;"-"&amp;2,'リスト'!$B:$D,3,FALSE),"")</f>
        <v>レイリー</v>
      </c>
      <c r="F13" s="210" t="s">
        <v>369</v>
      </c>
      <c r="G13" s="238"/>
      <c r="H13" s="206"/>
      <c r="I13" s="205"/>
      <c r="J13" s="228"/>
      <c r="K13" s="226">
        <f>'対戦順'!I9</f>
        <v>4</v>
      </c>
      <c r="L13" s="254"/>
      <c r="M13" s="205"/>
      <c r="N13" s="206"/>
      <c r="O13" s="206"/>
      <c r="P13" s="207"/>
      <c r="Q13" s="255"/>
      <c r="R13" s="243">
        <f>'対戦順'!I11</f>
        <v>4</v>
      </c>
      <c r="S13" s="208"/>
      <c r="T13" s="208"/>
      <c r="U13" s="209"/>
      <c r="V13" s="240"/>
      <c r="X13" s="210" t="str">
        <f>IFERROR(VLOOKUP(W12&amp;"-"&amp;2,'リスト'!$B:$D,2,FALSE),"")</f>
        <v>前田 美由紀</v>
      </c>
      <c r="Y13" s="210" t="s">
        <v>368</v>
      </c>
      <c r="Z13" s="211" t="str">
        <f>IFERROR(VLOOKUP(W12&amp;"-"&amp;2,'リスト'!$B:$D,3,FALSE),"")</f>
        <v>てーくおふ</v>
      </c>
      <c r="AA13" s="210" t="s">
        <v>369</v>
      </c>
    </row>
    <row r="14" ht="26.25" customHeight="1">
      <c r="A14" s="199"/>
      <c r="B14" s="200">
        <v>21.0</v>
      </c>
      <c r="C14" s="199" t="str">
        <f>IFERROR(VLOOKUP(B14&amp;"-"&amp;1,'リスト'!$B:$D,2,FALSE),"")</f>
        <v>杉野 隆志</v>
      </c>
      <c r="D14" s="199" t="s">
        <v>368</v>
      </c>
      <c r="E14" s="201" t="str">
        <f>IFERROR(VLOOKUP(B14&amp;"-"&amp;1,'リスト'!$B:$D,3,FALSE),"")</f>
        <v>アスペック</v>
      </c>
      <c r="F14" s="199" t="s">
        <v>369</v>
      </c>
      <c r="G14" s="202" t="s">
        <v>380</v>
      </c>
      <c r="H14" s="206"/>
      <c r="I14" s="205"/>
      <c r="J14" s="228"/>
      <c r="K14" s="234">
        <f>'対戦順'!J9</f>
        <v>6</v>
      </c>
      <c r="L14" s="205"/>
      <c r="M14" s="205"/>
      <c r="N14" s="206"/>
      <c r="O14" s="206"/>
      <c r="P14" s="207"/>
      <c r="Q14" s="207"/>
      <c r="R14" s="247">
        <f>'対戦順'!J11</f>
        <v>6</v>
      </c>
      <c r="S14" s="256"/>
      <c r="T14" s="248"/>
      <c r="U14" s="237"/>
      <c r="V14" s="253" t="s">
        <v>381</v>
      </c>
      <c r="W14" s="200">
        <v>50.0</v>
      </c>
      <c r="X14" s="199" t="str">
        <f>IFERROR(VLOOKUP(W14&amp;"-"&amp;1,'リスト'!$B:$D,2,FALSE),"")</f>
        <v>竹安 秀平</v>
      </c>
      <c r="Y14" s="199" t="s">
        <v>368</v>
      </c>
      <c r="Z14" s="201" t="str">
        <f>IFERROR(VLOOKUP(W14&amp;"-"&amp;1,'リスト'!$B:$D,3,FALSE),"")</f>
        <v>ＲｅＦｌｅｘ</v>
      </c>
      <c r="AA14" s="199" t="s">
        <v>369</v>
      </c>
    </row>
    <row r="15" ht="26.25" customHeight="1">
      <c r="A15" s="199"/>
      <c r="C15" s="210" t="str">
        <f>IFERROR(VLOOKUP(B14&amp;"-"&amp;2,'リスト'!$B:$D,2,FALSE),"")</f>
        <v>中村 公恵</v>
      </c>
      <c r="D15" s="210" t="s">
        <v>368</v>
      </c>
      <c r="E15" s="211" t="str">
        <f>IFERROR(VLOOKUP(B14&amp;"-"&amp;2,'リスト'!$B:$D,3,FALSE),"")</f>
        <v>田園</v>
      </c>
      <c r="F15" s="210" t="s">
        <v>369</v>
      </c>
      <c r="G15" s="212"/>
      <c r="H15" s="225"/>
      <c r="I15" s="204">
        <f>'対戦順'!I5</f>
        <v>3</v>
      </c>
      <c r="J15" s="254"/>
      <c r="K15" s="205"/>
      <c r="L15" s="205"/>
      <c r="M15" s="205"/>
      <c r="N15" s="206"/>
      <c r="O15" s="206"/>
      <c r="P15" s="207"/>
      <c r="Q15" s="207"/>
      <c r="R15" s="207"/>
      <c r="S15" s="208"/>
      <c r="T15" s="208"/>
      <c r="U15" s="209"/>
      <c r="V15" s="257"/>
      <c r="X15" s="210" t="str">
        <f>IFERROR(VLOOKUP(W14&amp;"-"&amp;2,'リスト'!$B:$D,2,FALSE),"")</f>
        <v>楠瀬 翔子</v>
      </c>
      <c r="Y15" s="210" t="s">
        <v>368</v>
      </c>
      <c r="Z15" s="211" t="str">
        <f>IFERROR(VLOOKUP(W14&amp;"-"&amp;2,'リスト'!$B:$D,3,FALSE),"")</f>
        <v>アポロＴＣ</v>
      </c>
      <c r="AA15" s="210" t="s">
        <v>369</v>
      </c>
    </row>
    <row r="16" ht="26.25" customHeight="1">
      <c r="A16" s="199"/>
      <c r="B16" s="200">
        <v>25.0</v>
      </c>
      <c r="C16" s="199" t="str">
        <f>IFERROR(VLOOKUP(B16&amp;"-"&amp;1,'リスト'!$B:$D,2,FALSE),"")</f>
        <v>米村 琢巳</v>
      </c>
      <c r="D16" s="199" t="s">
        <v>368</v>
      </c>
      <c r="E16" s="201" t="str">
        <f>IFERROR(VLOOKUP(B16&amp;"-"&amp;1,'リスト'!$B:$D,3,FALSE),"")</f>
        <v>フリー</v>
      </c>
      <c r="F16" s="199" t="s">
        <v>369</v>
      </c>
      <c r="G16" s="202" t="s">
        <v>382</v>
      </c>
      <c r="H16" s="233"/>
      <c r="I16" s="205">
        <f>'対戦順'!J5</f>
        <v>6</v>
      </c>
      <c r="J16" s="205"/>
      <c r="K16" s="205"/>
      <c r="L16" s="205"/>
      <c r="M16" s="205"/>
      <c r="N16" s="206"/>
      <c r="O16" s="206"/>
      <c r="P16" s="206"/>
      <c r="Q16" s="206"/>
      <c r="R16" s="206"/>
      <c r="S16" s="257"/>
      <c r="T16" s="257"/>
      <c r="U16" s="257"/>
      <c r="V16" s="258"/>
      <c r="W16" s="259"/>
      <c r="X16" s="199"/>
      <c r="Z16" s="198"/>
    </row>
    <row r="17" ht="26.25" customHeight="1">
      <c r="A17" s="199"/>
      <c r="C17" s="210" t="str">
        <f>IFERROR(VLOOKUP(B16&amp;"-"&amp;2,'リスト'!$B:$D,2,FALSE),"")</f>
        <v>佐藤 陽子</v>
      </c>
      <c r="D17" s="210" t="s">
        <v>368</v>
      </c>
      <c r="E17" s="211" t="str">
        <f>IFERROR(VLOOKUP(B16&amp;"-"&amp;2,'リスト'!$B:$D,3,FALSE),"")</f>
        <v>ウィード</v>
      </c>
      <c r="F17" s="210" t="s">
        <v>369</v>
      </c>
      <c r="G17" s="260"/>
      <c r="H17" s="260"/>
      <c r="I17" s="260"/>
      <c r="J17" s="260"/>
      <c r="K17" s="260"/>
      <c r="L17" s="260"/>
      <c r="M17" s="260"/>
      <c r="N17" s="260"/>
      <c r="O17" s="260"/>
      <c r="P17" s="260"/>
      <c r="Q17" s="260"/>
      <c r="R17" s="260"/>
      <c r="X17" s="210"/>
      <c r="Y17" s="261"/>
      <c r="Z17" s="262"/>
      <c r="AA17" s="261"/>
    </row>
    <row r="18">
      <c r="E18" s="263"/>
      <c r="Z18" s="198"/>
    </row>
    <row r="19">
      <c r="A19" s="186"/>
      <c r="C19" s="187"/>
      <c r="D19" s="187"/>
      <c r="E19" s="188"/>
      <c r="F19" s="187"/>
      <c r="G19" s="187"/>
      <c r="H19" s="187"/>
      <c r="I19" s="187"/>
      <c r="J19" s="187"/>
      <c r="K19" s="187"/>
      <c r="L19" s="187"/>
      <c r="M19" s="189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1"/>
      <c r="AA19" s="190"/>
      <c r="AB19" s="189"/>
    </row>
    <row r="20">
      <c r="A20" s="186"/>
      <c r="B20" s="264" t="s">
        <v>383</v>
      </c>
      <c r="C20" s="265"/>
      <c r="D20" s="265"/>
      <c r="E20" s="265"/>
      <c r="F20" s="265"/>
      <c r="G20" s="265"/>
      <c r="H20" s="265"/>
      <c r="I20" s="265"/>
      <c r="J20" s="265"/>
      <c r="K20" s="265"/>
      <c r="L20" s="266"/>
      <c r="M20" s="189"/>
      <c r="N20" s="76" t="str">
        <f>TRIM('予選'!$A$1)</f>
        <v>　 　　　　　 サンプル</v>
      </c>
      <c r="AA20" s="190"/>
      <c r="AB20" s="189"/>
    </row>
    <row r="21">
      <c r="A21" s="195"/>
      <c r="B21" s="267"/>
      <c r="C21" s="268"/>
      <c r="D21" s="268"/>
      <c r="E21" s="268"/>
      <c r="F21" s="268"/>
      <c r="G21" s="268"/>
      <c r="H21" s="268"/>
      <c r="I21" s="268"/>
      <c r="J21" s="268"/>
      <c r="K21" s="268"/>
      <c r="L21" s="269"/>
      <c r="M21" s="197"/>
      <c r="N21" s="197"/>
      <c r="O21" s="197"/>
      <c r="P21" s="197"/>
      <c r="Q21" s="197"/>
      <c r="R21" s="270"/>
      <c r="S21" s="271"/>
      <c r="T21" s="271"/>
      <c r="U21" s="195"/>
      <c r="W21" s="195"/>
      <c r="Z21" s="198"/>
    </row>
    <row r="22" ht="26.25" customHeight="1">
      <c r="A22" s="199"/>
      <c r="B22" s="200" t="str">
        <f>IFERROR(VLOOKUP(G22,'リスト'!$E$2:$F$109,2,FALSE),"")</f>
        <v>38</v>
      </c>
      <c r="C22" s="199" t="str">
        <f>IFERROR(VLOOKUP(B22&amp;"-"&amp;1,'リスト'!$B:$D,2,FALSE),"")</f>
        <v>柳武 剛</v>
      </c>
      <c r="D22" s="199" t="s">
        <v>368</v>
      </c>
      <c r="E22" s="201" t="str">
        <f>IFERROR(VLOOKUP(B22&amp;"-"&amp;1,'リスト'!$B:$D,3,FALSE),"")</f>
        <v>Vivace</v>
      </c>
      <c r="F22" s="199" t="s">
        <v>369</v>
      </c>
      <c r="G22" s="272" t="s">
        <v>384</v>
      </c>
      <c r="H22" s="203"/>
      <c r="I22" s="204"/>
      <c r="J22" s="205"/>
      <c r="K22" s="205"/>
      <c r="L22" s="205"/>
      <c r="M22" s="205"/>
      <c r="N22" s="206"/>
      <c r="O22" s="206"/>
      <c r="P22" s="207"/>
      <c r="Q22" s="207"/>
      <c r="R22" s="207"/>
      <c r="S22" s="208"/>
      <c r="T22" s="208"/>
      <c r="U22" s="209"/>
      <c r="V22" s="273" t="s">
        <v>385</v>
      </c>
      <c r="W22" s="200" t="str">
        <f>IFERROR(VLOOKUP(V22,'リスト'!$E$2:$F$109,2,FALSE),"")</f>
        <v>30</v>
      </c>
      <c r="X22" s="199" t="str">
        <f>IFERROR(VLOOKUP(W22&amp;"-"&amp;1,'リスト'!$B:$D,2,FALSE),"")</f>
        <v>坪上 雄太</v>
      </c>
      <c r="Y22" s="199" t="s">
        <v>368</v>
      </c>
      <c r="Z22" s="201" t="str">
        <f>IFERROR(VLOOKUP(W22&amp;"-"&amp;1,'リスト'!$B:$D,3,FALSE),"")</f>
        <v>メテオスマッシュ</v>
      </c>
      <c r="AA22" s="199" t="s">
        <v>369</v>
      </c>
    </row>
    <row r="23" ht="26.25" customHeight="1">
      <c r="A23" s="199"/>
      <c r="C23" s="210" t="str">
        <f>IFERROR(VLOOKUP(B22&amp;"-"&amp;2,'リスト'!$B:$D,2,FALSE),"")</f>
        <v>鳥飼 明子</v>
      </c>
      <c r="D23" s="210" t="s">
        <v>368</v>
      </c>
      <c r="E23" s="211" t="str">
        <f>IFERROR(VLOOKUP(B22&amp;"-"&amp;2,'リスト'!$B:$D,3,FALSE),"")</f>
        <v>フリー</v>
      </c>
      <c r="F23" s="210" t="s">
        <v>369</v>
      </c>
      <c r="G23" s="274"/>
      <c r="H23" s="213"/>
      <c r="I23" s="214"/>
      <c r="J23" s="215"/>
      <c r="K23" s="226">
        <f>'対戦順'!I20</f>
        <v>4</v>
      </c>
      <c r="L23" s="204"/>
      <c r="M23" s="205"/>
      <c r="N23" s="206"/>
      <c r="O23" s="206"/>
      <c r="P23" s="207"/>
      <c r="Q23" s="207"/>
      <c r="R23" s="217">
        <f>'対戦順'!I22</f>
        <v>4</v>
      </c>
      <c r="S23" s="218"/>
      <c r="T23" s="219"/>
      <c r="U23" s="220"/>
      <c r="V23" s="275"/>
      <c r="X23" s="210" t="str">
        <f>IFERROR(VLOOKUP(W22&amp;"-"&amp;2,'リスト'!$B:$D,2,FALSE),"")</f>
        <v>高垣 雅美</v>
      </c>
      <c r="Y23" s="210" t="s">
        <v>368</v>
      </c>
      <c r="Z23" s="211" t="str">
        <f>IFERROR(VLOOKUP(W22&amp;"-"&amp;2,'リスト'!$B:$D,3,FALSE),"")</f>
        <v>レイリー</v>
      </c>
      <c r="AA23" s="210" t="s">
        <v>369</v>
      </c>
    </row>
    <row r="24" ht="26.25" customHeight="1">
      <c r="A24" s="199"/>
      <c r="B24" s="200" t="str">
        <f>IFERROR(VLOOKUP(G24,'リスト'!$E$2:$F$109,2,FALSE),"")</f>
        <v>22</v>
      </c>
      <c r="C24" s="199" t="str">
        <f>IFERROR(VLOOKUP(B24&amp;"-"&amp;1,'リスト'!$B:$D,2,FALSE),"")</f>
        <v>小谷 神一郎</v>
      </c>
      <c r="D24" s="199" t="s">
        <v>368</v>
      </c>
      <c r="E24" s="201" t="str">
        <f>IFERROR(VLOOKUP(B24&amp;"-"&amp;1,'リスト'!$B:$D,3,FALSE),"")</f>
        <v>フリー</v>
      </c>
      <c r="F24" s="199" t="s">
        <v>369</v>
      </c>
      <c r="G24" s="217" t="s">
        <v>386</v>
      </c>
      <c r="H24" s="206"/>
      <c r="I24" s="276"/>
      <c r="J24" s="228"/>
      <c r="K24" s="234">
        <f>'対戦順'!J20</f>
        <v>6</v>
      </c>
      <c r="L24" s="228"/>
      <c r="M24" s="205"/>
      <c r="N24" s="206"/>
      <c r="O24" s="206"/>
      <c r="P24" s="207"/>
      <c r="Q24" s="223"/>
      <c r="R24" s="277">
        <f>'対戦順'!J22</f>
        <v>6</v>
      </c>
      <c r="S24" s="278"/>
      <c r="T24" s="208"/>
      <c r="U24" s="209"/>
      <c r="V24" s="273" t="s">
        <v>387</v>
      </c>
      <c r="W24" s="200" t="str">
        <f>IFERROR(VLOOKUP(V24,'リスト'!$E$2:$F$109,2,FALSE),"")</f>
        <v>2</v>
      </c>
      <c r="X24" s="199" t="str">
        <f>IFERROR(VLOOKUP(W24&amp;"-"&amp;1,'リスト'!$B:$D,2,FALSE),"")</f>
        <v>岸本 健悟</v>
      </c>
      <c r="Y24" s="199" t="s">
        <v>368</v>
      </c>
      <c r="Z24" s="201" t="str">
        <f>IFERROR(VLOOKUP(W24&amp;"-"&amp;1,'リスト'!$B:$D,3,FALSE),"")</f>
        <v>オレンジ</v>
      </c>
      <c r="AA24" s="199" t="s">
        <v>369</v>
      </c>
    </row>
    <row r="25" ht="26.25" customHeight="1">
      <c r="A25" s="199"/>
      <c r="C25" s="210" t="str">
        <f>IFERROR(VLOOKUP(B24&amp;"-"&amp;2,'リスト'!$B:$D,2,FALSE),"")</f>
        <v>青木 楓</v>
      </c>
      <c r="D25" s="210" t="s">
        <v>368</v>
      </c>
      <c r="E25" s="211" t="str">
        <f>IFERROR(VLOOKUP(B24&amp;"-"&amp;2,'リスト'!$B:$D,3,FALSE),"")</f>
        <v>フリー</v>
      </c>
      <c r="F25" s="210" t="s">
        <v>369</v>
      </c>
      <c r="G25" s="274"/>
      <c r="H25" s="225"/>
      <c r="I25" s="226">
        <f>'対戦順'!I15</f>
        <v>4</v>
      </c>
      <c r="J25" s="254"/>
      <c r="K25" s="205"/>
      <c r="L25" s="228"/>
      <c r="M25" s="205"/>
      <c r="N25" s="206"/>
      <c r="O25" s="206"/>
      <c r="P25" s="207"/>
      <c r="Q25" s="229"/>
      <c r="R25" s="207"/>
      <c r="S25" s="256"/>
      <c r="T25" s="279">
        <f>'対戦順'!I18</f>
        <v>4</v>
      </c>
      <c r="U25" s="232"/>
      <c r="V25" s="275"/>
      <c r="X25" s="210" t="str">
        <f>IFERROR(VLOOKUP(W24&amp;"-"&amp;2,'リスト'!$B:$D,2,FALSE),"")</f>
        <v>三浦 舞子</v>
      </c>
      <c r="Y25" s="210" t="s">
        <v>368</v>
      </c>
      <c r="Z25" s="211" t="str">
        <f>IFERROR(VLOOKUP(W24&amp;"-"&amp;2,'リスト'!$B:$D,3,FALSE),"")</f>
        <v>サニーＴＳ</v>
      </c>
      <c r="AA25" s="210" t="s">
        <v>369</v>
      </c>
    </row>
    <row r="26" ht="26.25" customHeight="1">
      <c r="A26" s="199"/>
      <c r="B26" s="200" t="str">
        <f>IFERROR(VLOOKUP(G26,'リスト'!$E$2:$F$109,2,FALSE),"")</f>
        <v>14</v>
      </c>
      <c r="C26" s="199" t="str">
        <f>IFERROR(VLOOKUP(B26&amp;"-"&amp;1,'リスト'!$B:$D,2,FALSE),"")</f>
        <v>中里 海</v>
      </c>
      <c r="D26" s="199" t="s">
        <v>368</v>
      </c>
      <c r="E26" s="201" t="str">
        <f>IFERROR(VLOOKUP(B26&amp;"-"&amp;1,'リスト'!$B:$D,3,FALSE),"")</f>
        <v>湖山池ＴＣ</v>
      </c>
      <c r="F26" s="199" t="s">
        <v>369</v>
      </c>
      <c r="G26" s="272" t="s">
        <v>388</v>
      </c>
      <c r="H26" s="233"/>
      <c r="I26" s="234">
        <f>'対戦順'!J15</f>
        <v>6</v>
      </c>
      <c r="J26" s="205"/>
      <c r="K26" s="205"/>
      <c r="L26" s="228"/>
      <c r="M26" s="280" t="str">
        <f>IFERROR(　IF('対戦順'!I26&gt;'対戦順'!J26, LEFT('対戦順'!D26,FIND(" ",'対戦順'!D26)-1)&amp;"・"&amp;LEFT('対戦順'!E26,FIND(" ",'対戦順'!E26)-1), LEFT('対戦順'!G26,FIND(" ",'対戦順'!G26)-1)&amp;"・"&amp;LEFT('対戦順'!H26,FIND(" ",'対戦順'!H26)-1)),"")</f>
        <v>田中・林</v>
      </c>
      <c r="Q26" s="229"/>
      <c r="R26" s="207"/>
      <c r="S26" s="208"/>
      <c r="T26" s="281">
        <f>'対戦順'!J18</f>
        <v>6</v>
      </c>
      <c r="U26" s="282"/>
      <c r="V26" s="283" t="s">
        <v>389</v>
      </c>
      <c r="W26" s="200" t="str">
        <f>IFERROR(VLOOKUP(V26,'リスト'!$E$2:$F$109,2,FALSE),"")</f>
        <v>46</v>
      </c>
      <c r="X26" s="199" t="str">
        <f>IFERROR(VLOOKUP(W26&amp;"-"&amp;1,'リスト'!$B:$D,2,FALSE),"")</f>
        <v>住吉 俊輝</v>
      </c>
      <c r="Y26" s="199" t="s">
        <v>368</v>
      </c>
      <c r="Z26" s="201" t="str">
        <f>IFERROR(VLOOKUP(W26&amp;"-"&amp;1,'リスト'!$B:$D,3,FALSE),"")</f>
        <v>プラセール</v>
      </c>
      <c r="AA26" s="199" t="s">
        <v>369</v>
      </c>
    </row>
    <row r="27" ht="26.25" customHeight="1">
      <c r="A27" s="199"/>
      <c r="C27" s="210" t="str">
        <f>IFERROR(VLOOKUP(B26&amp;"-"&amp;2,'リスト'!$B:$D,2,FALSE),"")</f>
        <v>市川 朋子</v>
      </c>
      <c r="D27" s="210" t="s">
        <v>368</v>
      </c>
      <c r="E27" s="211" t="str">
        <f>IFERROR(VLOOKUP(B26&amp;"-"&amp;2,'リスト'!$B:$D,3,FALSE),"")</f>
        <v>あみたま</v>
      </c>
      <c r="F27" s="210" t="s">
        <v>369</v>
      </c>
      <c r="G27" s="207"/>
      <c r="H27" s="206"/>
      <c r="I27" s="205"/>
      <c r="J27" s="205"/>
      <c r="K27" s="205"/>
      <c r="L27" s="228"/>
      <c r="M27" s="200" t="str">
        <f>'対戦順'!I26&amp;"-"&amp;'対戦順'!J26</f>
        <v>4-6</v>
      </c>
      <c r="Q27" s="229"/>
      <c r="R27" s="207"/>
      <c r="S27" s="208"/>
      <c r="T27" s="208"/>
      <c r="U27" s="209"/>
      <c r="V27" s="244"/>
      <c r="X27" s="210" t="str">
        <f>IFERROR(VLOOKUP(W26&amp;"-"&amp;2,'リスト'!$B:$D,2,FALSE),"")</f>
        <v>福浜 美佐緒</v>
      </c>
      <c r="Y27" s="210" t="s">
        <v>368</v>
      </c>
      <c r="Z27" s="211" t="str">
        <f>IFERROR(VLOOKUP(W26&amp;"-"&amp;2,'リスト'!$B:$D,3,FALSE),"")</f>
        <v>プラセール</v>
      </c>
      <c r="AA27" s="210" t="s">
        <v>369</v>
      </c>
    </row>
    <row r="28" ht="26.25" customHeight="1">
      <c r="A28" s="199"/>
      <c r="B28" s="200" t="str">
        <f>IFERROR(VLOOKUP(G28,'リスト'!$E$2:$F$109,2,FALSE),"")</f>
        <v>34</v>
      </c>
      <c r="C28" s="199" t="str">
        <f>IFERROR(VLOOKUP(B28&amp;"-"&amp;1,'リスト'!$B:$D,2,FALSE),"")</f>
        <v>高木 道大</v>
      </c>
      <c r="D28" s="199" t="s">
        <v>368</v>
      </c>
      <c r="E28" s="201" t="str">
        <f>IFERROR(VLOOKUP(B28&amp;"-"&amp;1,'リスト'!$B:$D,3,FALSE),"")</f>
        <v>因幡打輪</v>
      </c>
      <c r="F28" s="199" t="s">
        <v>369</v>
      </c>
      <c r="G28" s="284" t="s">
        <v>390</v>
      </c>
      <c r="H28" s="206"/>
      <c r="I28" s="205"/>
      <c r="J28" s="205"/>
      <c r="K28" s="205"/>
      <c r="L28" s="228"/>
      <c r="M28" s="226">
        <f>'対戦順'!I24</f>
        <v>4</v>
      </c>
      <c r="N28" s="203"/>
      <c r="O28" s="242"/>
      <c r="P28" s="272">
        <f>'対戦順'!I25</f>
        <v>4</v>
      </c>
      <c r="Q28" s="229"/>
      <c r="R28" s="207"/>
      <c r="S28" s="208"/>
      <c r="T28" s="244"/>
      <c r="U28" s="209"/>
      <c r="V28" s="273" t="s">
        <v>391</v>
      </c>
      <c r="W28" s="200" t="str">
        <f>IFERROR(VLOOKUP(V28,'リスト'!$E$2:$F$109,2,FALSE),"")</f>
        <v>6</v>
      </c>
      <c r="X28" s="199" t="str">
        <f>IFERROR(VLOOKUP(W28&amp;"-"&amp;1,'リスト'!$B:$D,2,FALSE),"")</f>
        <v>山辺 裕司</v>
      </c>
      <c r="Y28" s="199" t="s">
        <v>368</v>
      </c>
      <c r="Z28" s="201" t="str">
        <f>IFERROR(VLOOKUP(W28&amp;"-"&amp;1,'リスト'!$B:$D,3,FALSE),"")</f>
        <v>ｄｏＭｅ</v>
      </c>
      <c r="AA28" s="199" t="s">
        <v>369</v>
      </c>
    </row>
    <row r="29" ht="26.25" customHeight="1">
      <c r="A29" s="199"/>
      <c r="C29" s="210" t="str">
        <f>IFERROR(VLOOKUP(B28&amp;"-"&amp;2,'リスト'!$B:$D,2,FALSE),"")</f>
        <v>北脇 禎恵</v>
      </c>
      <c r="D29" s="210" t="s">
        <v>368</v>
      </c>
      <c r="E29" s="211" t="str">
        <f>IFERROR(VLOOKUP(B28&amp;"-"&amp;2,'リスト'!$B:$D,3,FALSE),"")</f>
        <v>フリー</v>
      </c>
      <c r="F29" s="210" t="s">
        <v>369</v>
      </c>
      <c r="G29" s="274"/>
      <c r="H29" s="225"/>
      <c r="I29" s="216">
        <f>'対戦順'!I16</f>
        <v>4</v>
      </c>
      <c r="J29" s="205"/>
      <c r="K29" s="205"/>
      <c r="L29" s="228"/>
      <c r="M29" s="234">
        <f>'対戦順'!J24</f>
        <v>6</v>
      </c>
      <c r="N29" s="246"/>
      <c r="O29" s="246"/>
      <c r="P29" s="247">
        <f>'対戦順'!J25</f>
        <v>6</v>
      </c>
      <c r="Q29" s="229"/>
      <c r="R29" s="207"/>
      <c r="S29" s="208"/>
      <c r="T29" s="285">
        <f>'対戦順'!I19</f>
        <v>4</v>
      </c>
      <c r="U29" s="232"/>
      <c r="V29" s="275"/>
      <c r="X29" s="210" t="str">
        <f>IFERROR(VLOOKUP(W28&amp;"-"&amp;2,'リスト'!$B:$D,2,FALSE),"")</f>
        <v>蓼本 裕美</v>
      </c>
      <c r="Y29" s="210" t="s">
        <v>368</v>
      </c>
      <c r="Z29" s="211" t="str">
        <f>IFERROR(VLOOKUP(W28&amp;"-"&amp;2,'リスト'!$B:$D,3,FALSE),"")</f>
        <v>ｄｏＭｅ</v>
      </c>
      <c r="AA29" s="210" t="s">
        <v>369</v>
      </c>
    </row>
    <row r="30" ht="26.25" customHeight="1">
      <c r="A30" s="199"/>
      <c r="B30" s="200" t="str">
        <f>IFERROR(VLOOKUP(G30,'リスト'!$E$2:$F$109,2,FALSE),"")</f>
        <v>11</v>
      </c>
      <c r="C30" s="199" t="str">
        <f>IFERROR(VLOOKUP(B30&amp;"-"&amp;1,'リスト'!$B:$D,2,FALSE),"")</f>
        <v>和気 久</v>
      </c>
      <c r="D30" s="199" t="s">
        <v>368</v>
      </c>
      <c r="E30" s="201" t="str">
        <f>IFERROR(VLOOKUP(B30&amp;"-"&amp;1,'リスト'!$B:$D,3,FALSE),"")</f>
        <v>ＢＳＣ</v>
      </c>
      <c r="F30" s="199" t="s">
        <v>369</v>
      </c>
      <c r="G30" s="272" t="s">
        <v>392</v>
      </c>
      <c r="H30" s="233"/>
      <c r="I30" s="250">
        <f>'対戦順'!J16</f>
        <v>6</v>
      </c>
      <c r="J30" s="215"/>
      <c r="K30" s="205"/>
      <c r="L30" s="228"/>
      <c r="M30" s="205"/>
      <c r="N30" s="206"/>
      <c r="O30" s="206"/>
      <c r="P30" s="286"/>
      <c r="Q30" s="229"/>
      <c r="R30" s="207"/>
      <c r="S30" s="218"/>
      <c r="T30" s="287">
        <f>'対戦順'!J19</f>
        <v>6</v>
      </c>
      <c r="U30" s="282"/>
      <c r="V30" s="273" t="s">
        <v>393</v>
      </c>
      <c r="W30" s="200" t="str">
        <f>IFERROR(VLOOKUP(V30,'リスト'!$E$2:$F$109,2,FALSE),"")</f>
        <v>51</v>
      </c>
      <c r="X30" s="199" t="str">
        <f>IFERROR(VLOOKUP(W30&amp;"-"&amp;1,'リスト'!$B:$D,2,FALSE),"")</f>
        <v>橋本 義斉</v>
      </c>
      <c r="Y30" s="199" t="s">
        <v>368</v>
      </c>
      <c r="Z30" s="201" t="str">
        <f>IFERROR(VLOOKUP(W30&amp;"-"&amp;1,'リスト'!$B:$D,3,FALSE),"")</f>
        <v>Drop☆Shot</v>
      </c>
      <c r="AA30" s="199" t="s">
        <v>369</v>
      </c>
    </row>
    <row r="31" ht="26.25" customHeight="1">
      <c r="A31" s="199"/>
      <c r="C31" s="210" t="str">
        <f>IFERROR(VLOOKUP(B30&amp;"-"&amp;2,'リスト'!$B:$D,2,FALSE),"")</f>
        <v>長川 朱美</v>
      </c>
      <c r="D31" s="210" t="s">
        <v>368</v>
      </c>
      <c r="E31" s="211" t="str">
        <f>IFERROR(VLOOKUP(B30&amp;"-"&amp;2,'リスト'!$B:$D,3,FALSE),"")</f>
        <v>ロランギャロス</v>
      </c>
      <c r="F31" s="210" t="s">
        <v>369</v>
      </c>
      <c r="G31" s="207"/>
      <c r="H31" s="206"/>
      <c r="I31" s="205"/>
      <c r="J31" s="228"/>
      <c r="K31" s="226">
        <f>'対戦順'!I21</f>
        <v>4</v>
      </c>
      <c r="L31" s="254"/>
      <c r="M31" s="205"/>
      <c r="N31" s="206"/>
      <c r="O31" s="206"/>
      <c r="P31" s="207"/>
      <c r="Q31" s="229"/>
      <c r="R31" s="217">
        <f>'対戦順'!I23</f>
        <v>4</v>
      </c>
      <c r="S31" s="278"/>
      <c r="T31" s="208"/>
      <c r="U31" s="209"/>
      <c r="V31" s="244"/>
      <c r="X31" s="210" t="str">
        <f>IFERROR(VLOOKUP(W30&amp;"-"&amp;2,'リスト'!$B:$D,2,FALSE),"")</f>
        <v>今城 由美</v>
      </c>
      <c r="Y31" s="210" t="s">
        <v>368</v>
      </c>
      <c r="Z31" s="211" t="str">
        <f>IFERROR(VLOOKUP(W30&amp;"-"&amp;2,'リスト'!$B:$D,3,FALSE),"")</f>
        <v>レイリー</v>
      </c>
      <c r="AA31" s="210" t="s">
        <v>369</v>
      </c>
    </row>
    <row r="32" ht="26.25" customHeight="1">
      <c r="A32" s="199"/>
      <c r="B32" s="200" t="str">
        <f>IFERROR(VLOOKUP(G32,'リスト'!$E$2:$F$109,2,FALSE),"")</f>
        <v>26</v>
      </c>
      <c r="C32" s="199" t="str">
        <f>IFERROR(VLOOKUP(B32&amp;"-"&amp;1,'リスト'!$B:$D,2,FALSE),"")</f>
        <v>松原 成哉</v>
      </c>
      <c r="D32" s="199" t="s">
        <v>368</v>
      </c>
      <c r="E32" s="201" t="str">
        <f>IFERROR(VLOOKUP(B32&amp;"-"&amp;1,'リスト'!$B:$D,3,FALSE),"")</f>
        <v>ｄｏＭｅ</v>
      </c>
      <c r="F32" s="199" t="s">
        <v>369</v>
      </c>
      <c r="G32" s="217" t="s">
        <v>394</v>
      </c>
      <c r="H32" s="206"/>
      <c r="I32" s="205"/>
      <c r="J32" s="228"/>
      <c r="K32" s="234">
        <f>'対戦順'!J21</f>
        <v>6</v>
      </c>
      <c r="L32" s="205"/>
      <c r="M32" s="205"/>
      <c r="N32" s="206"/>
      <c r="O32" s="206"/>
      <c r="P32" s="207"/>
      <c r="Q32" s="274"/>
      <c r="R32" s="224">
        <f>'対戦順'!J23</f>
        <v>6</v>
      </c>
      <c r="S32" s="248"/>
      <c r="T32" s="248"/>
      <c r="U32" s="237"/>
      <c r="V32" s="273" t="s">
        <v>395</v>
      </c>
      <c r="W32" s="200" t="str">
        <f>IFERROR(VLOOKUP(V32,'リスト'!$E$2:$F$109,2,FALSE),"")</f>
        <v>42</v>
      </c>
      <c r="X32" s="199" t="str">
        <f>IFERROR(VLOOKUP(W32&amp;"-"&amp;1,'リスト'!$B:$D,2,FALSE),"")</f>
        <v>田中 久夫</v>
      </c>
      <c r="Y32" s="199" t="s">
        <v>368</v>
      </c>
      <c r="Z32" s="201" t="str">
        <f>IFERROR(VLOOKUP(W32&amp;"-"&amp;1,'リスト'!$B:$D,3,FALSE),"")</f>
        <v>カプリス</v>
      </c>
      <c r="AA32" s="199" t="s">
        <v>369</v>
      </c>
    </row>
    <row r="33" ht="26.25" customHeight="1">
      <c r="A33" s="199"/>
      <c r="C33" s="210" t="str">
        <f>IFERROR(VLOOKUP(B32&amp;"-"&amp;2,'リスト'!$B:$D,2,FALSE),"")</f>
        <v>宮島 依吹</v>
      </c>
      <c r="D33" s="210" t="s">
        <v>368</v>
      </c>
      <c r="E33" s="211" t="str">
        <f>IFERROR(VLOOKUP(B32&amp;"-"&amp;2,'リスト'!$B:$D,3,FALSE),"")</f>
        <v>ｄｏＭｅ</v>
      </c>
      <c r="F33" s="210" t="s">
        <v>369</v>
      </c>
      <c r="G33" s="274"/>
      <c r="H33" s="225"/>
      <c r="I33" s="204">
        <f>'対戦順'!I17</f>
        <v>4</v>
      </c>
      <c r="J33" s="254"/>
      <c r="K33" s="205"/>
      <c r="L33" s="205"/>
      <c r="M33" s="205"/>
      <c r="N33" s="206"/>
      <c r="O33" s="206"/>
      <c r="P33" s="207"/>
      <c r="Q33" s="207"/>
      <c r="R33" s="207"/>
      <c r="S33" s="208"/>
      <c r="T33" s="208"/>
      <c r="U33" s="209"/>
      <c r="V33" s="257"/>
      <c r="X33" s="210" t="str">
        <f>IFERROR(VLOOKUP(W32&amp;"-"&amp;2,'リスト'!$B:$D,2,FALSE),"")</f>
        <v>林 京子</v>
      </c>
      <c r="Y33" s="210" t="s">
        <v>368</v>
      </c>
      <c r="Z33" s="211" t="str">
        <f>IFERROR(VLOOKUP(W32&amp;"-"&amp;2,'リスト'!$B:$D,3,FALSE),"")</f>
        <v>フリー</v>
      </c>
      <c r="AA33" s="210" t="s">
        <v>369</v>
      </c>
    </row>
    <row r="34" ht="26.25" customHeight="1">
      <c r="A34" s="199"/>
      <c r="B34" s="200" t="str">
        <f>IFERROR(VLOOKUP(G34,'リスト'!$E$2:$F$109,2,FALSE),"")</f>
        <v>18</v>
      </c>
      <c r="C34" s="199" t="str">
        <f>IFERROR(VLOOKUP(B34&amp;"-"&amp;1,'リスト'!$B:$D,2,FALSE),"")</f>
        <v>田中 憲一</v>
      </c>
      <c r="D34" s="199" t="s">
        <v>368</v>
      </c>
      <c r="E34" s="201" t="str">
        <f>IFERROR(VLOOKUP(B34&amp;"-"&amp;1,'リスト'!$B:$D,3,FALSE),"")</f>
        <v>ポップテニスプラス</v>
      </c>
      <c r="F34" s="199" t="s">
        <v>369</v>
      </c>
      <c r="G34" s="272" t="s">
        <v>396</v>
      </c>
      <c r="H34" s="288"/>
      <c r="I34" s="205">
        <f>'対戦順'!J17</f>
        <v>6</v>
      </c>
      <c r="J34" s="207"/>
      <c r="K34" s="207"/>
      <c r="L34" s="207"/>
      <c r="M34" s="207"/>
      <c r="N34" s="207"/>
      <c r="O34" s="207"/>
      <c r="P34" s="207"/>
      <c r="Q34" s="207"/>
      <c r="R34" s="289"/>
      <c r="S34" s="244"/>
      <c r="T34" s="244"/>
      <c r="U34" s="290"/>
      <c r="V34" s="291"/>
      <c r="W34" s="259" t="str">
        <f>IFERROR(VLOOKUP("13-2-1",'順位別Tリスト'!$A$4:$I$169,5,FALSE),"")</f>
        <v/>
      </c>
      <c r="X34" s="199"/>
      <c r="Y34" s="290"/>
      <c r="Z34" s="198"/>
      <c r="AA34" s="290"/>
    </row>
    <row r="35" ht="26.25" customHeight="1">
      <c r="A35" s="199"/>
      <c r="C35" s="210" t="str">
        <f>IFERROR(VLOOKUP(B34&amp;"-"&amp;2,'リスト'!$B:$D,2,FALSE),"")</f>
        <v>山﨑 弥生</v>
      </c>
      <c r="D35" s="210" t="s">
        <v>368</v>
      </c>
      <c r="E35" s="211" t="str">
        <f>IFERROR(VLOOKUP(B34&amp;"-"&amp;2,'リスト'!$B:$D,3,FALSE),"")</f>
        <v>鳥取銀行</v>
      </c>
      <c r="F35" s="210" t="s">
        <v>369</v>
      </c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V35" s="292"/>
      <c r="X35" s="210"/>
      <c r="Y35" s="261"/>
      <c r="Z35" s="262"/>
      <c r="AA35" s="261"/>
    </row>
    <row r="36">
      <c r="E36" s="263"/>
      <c r="Z36" s="198"/>
    </row>
    <row r="37">
      <c r="A37" s="186"/>
      <c r="B37" s="187"/>
      <c r="C37" s="187"/>
      <c r="D37" s="187"/>
      <c r="E37" s="188"/>
      <c r="F37" s="187"/>
      <c r="G37" s="187"/>
      <c r="H37" s="187"/>
      <c r="I37" s="187"/>
      <c r="J37" s="187"/>
      <c r="K37" s="187"/>
      <c r="L37" s="187"/>
      <c r="M37" s="189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1"/>
      <c r="AA37" s="290"/>
      <c r="AB37" s="189"/>
    </row>
    <row r="38">
      <c r="A38" s="186"/>
      <c r="B38" s="192" t="s">
        <v>397</v>
      </c>
      <c r="C38" s="193"/>
      <c r="D38" s="193"/>
      <c r="E38" s="193"/>
      <c r="F38" s="193"/>
      <c r="G38" s="193"/>
      <c r="H38" s="193"/>
      <c r="I38" s="193"/>
      <c r="J38" s="193"/>
      <c r="K38" s="193"/>
      <c r="L38" s="194"/>
      <c r="M38" s="189"/>
      <c r="N38" s="76" t="str">
        <f>TRIM('予選'!$A$1)</f>
        <v>　 　　　　　 サンプル</v>
      </c>
      <c r="AA38" s="190"/>
      <c r="AB38" s="189"/>
    </row>
    <row r="39">
      <c r="A39" s="195"/>
      <c r="B39" s="195"/>
      <c r="C39" s="195"/>
      <c r="D39" s="195"/>
      <c r="E39" s="196"/>
      <c r="F39" s="195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5"/>
      <c r="T39" s="195"/>
      <c r="U39" s="195"/>
      <c r="W39" s="195"/>
      <c r="Z39" s="198"/>
    </row>
    <row r="40" ht="26.25" customHeight="1">
      <c r="A40" s="199"/>
      <c r="B40" s="200" t="str">
        <f>IFERROR(VLOOKUP(G40,'リスト'!$E$2:$F$109,2,FALSE),"")</f>
        <v>39</v>
      </c>
      <c r="C40" s="199" t="str">
        <f>IFERROR(VLOOKUP(B40&amp;"-"&amp;1,'リスト'!$B:$D,2,FALSE),"")</f>
        <v>盛本 貴之</v>
      </c>
      <c r="D40" s="199" t="s">
        <v>368</v>
      </c>
      <c r="E40" s="201" t="str">
        <f>IFERROR(VLOOKUP(B40&amp;"-"&amp;1,'リスト'!$B:$D,3,FALSE),"")</f>
        <v>カプリス</v>
      </c>
      <c r="F40" s="199" t="s">
        <v>369</v>
      </c>
      <c r="G40" s="217" t="s">
        <v>398</v>
      </c>
      <c r="H40" s="203"/>
      <c r="I40" s="204"/>
      <c r="J40" s="205"/>
      <c r="K40" s="205"/>
      <c r="L40" s="205"/>
      <c r="M40" s="205"/>
      <c r="N40" s="206"/>
      <c r="O40" s="206"/>
      <c r="P40" s="207"/>
      <c r="Q40" s="207"/>
      <c r="R40" s="207"/>
      <c r="S40" s="208"/>
      <c r="T40" s="208"/>
      <c r="U40" s="209"/>
      <c r="V40" s="293" t="s">
        <v>399</v>
      </c>
      <c r="W40" s="200" t="str">
        <f>IFERROR(VLOOKUP(V40,'リスト'!$E$2:$F$109,2,FALSE),"")</f>
        <v>23</v>
      </c>
      <c r="X40" s="199" t="str">
        <f>IFERROR(VLOOKUP(W40&amp;"-"&amp;1,'リスト'!$B:$D,2,FALSE),"")</f>
        <v>朝倉 章順</v>
      </c>
      <c r="Y40" s="199" t="s">
        <v>368</v>
      </c>
      <c r="Z40" s="201" t="str">
        <f>IFERROR(VLOOKUP(W40&amp;"-"&amp;1,'リスト'!$B:$D,3,FALSE),"")</f>
        <v>ロランギャロス</v>
      </c>
      <c r="AA40" s="199" t="s">
        <v>369</v>
      </c>
    </row>
    <row r="41" ht="26.25" customHeight="1">
      <c r="A41" s="199"/>
      <c r="C41" s="210" t="str">
        <f>IFERROR(VLOOKUP(B40&amp;"-"&amp;2,'リスト'!$B:$D,2,FALSE),"")</f>
        <v>仲曽 真由美</v>
      </c>
      <c r="D41" s="210" t="s">
        <v>368</v>
      </c>
      <c r="E41" s="211" t="str">
        <f>IFERROR(VLOOKUP(B40&amp;"-"&amp;2,'リスト'!$B:$D,3,FALSE),"")</f>
        <v>BSC</v>
      </c>
      <c r="F41" s="210" t="s">
        <v>369</v>
      </c>
      <c r="G41" s="274"/>
      <c r="H41" s="213"/>
      <c r="I41" s="214"/>
      <c r="J41" s="215"/>
      <c r="K41" s="216">
        <f>'対戦順'!I32</f>
        <v>6</v>
      </c>
      <c r="L41" s="205"/>
      <c r="M41" s="205"/>
      <c r="N41" s="206"/>
      <c r="O41" s="206"/>
      <c r="P41" s="207"/>
      <c r="Q41" s="207"/>
      <c r="R41" s="217"/>
      <c r="S41" s="208"/>
      <c r="T41" s="208">
        <f>'対戦順'!I29</f>
        <v>6</v>
      </c>
      <c r="U41" s="232"/>
      <c r="V41" s="275"/>
      <c r="X41" s="210" t="str">
        <f>IFERROR(VLOOKUP(W40&amp;"-"&amp;2,'リスト'!$B:$D,2,FALSE),"")</f>
        <v>朝倉 加世子</v>
      </c>
      <c r="Y41" s="210" t="s">
        <v>368</v>
      </c>
      <c r="Z41" s="211" t="str">
        <f>IFERROR(VLOOKUP(W40&amp;"-"&amp;2,'リスト'!$B:$D,3,FALSE),"")</f>
        <v>ロランギャロス</v>
      </c>
      <c r="AA41" s="210" t="s">
        <v>369</v>
      </c>
    </row>
    <row r="42" ht="26.25" customHeight="1">
      <c r="A42" s="199"/>
      <c r="B42" s="200" t="str">
        <f>IFERROR(VLOOKUP(G42,'リスト'!$E$2:$F$109,2,FALSE),"")</f>
        <v>52</v>
      </c>
      <c r="C42" s="199" t="str">
        <f>IFERROR(VLOOKUP(B42&amp;"-"&amp;1,'リスト'!$B:$D,2,FALSE),"")</f>
        <v>井嶋 昭二</v>
      </c>
      <c r="D42" s="199" t="s">
        <v>368</v>
      </c>
      <c r="E42" s="201" t="str">
        <f>IFERROR(VLOOKUP(B42&amp;"-"&amp;1,'リスト'!$B:$D,3,FALSE),"")</f>
        <v>RedHotChiliPeppers</v>
      </c>
      <c r="F42" s="199" t="s">
        <v>369</v>
      </c>
      <c r="G42" s="217" t="s">
        <v>400</v>
      </c>
      <c r="H42" s="206"/>
      <c r="I42" s="205"/>
      <c r="J42" s="228"/>
      <c r="K42" s="250">
        <f>'対戦順'!J32</f>
        <v>1</v>
      </c>
      <c r="L42" s="215"/>
      <c r="M42" s="205"/>
      <c r="N42" s="206"/>
      <c r="O42" s="206"/>
      <c r="P42" s="207"/>
      <c r="Q42" s="207"/>
      <c r="R42" s="247"/>
      <c r="S42" s="218"/>
      <c r="T42" s="219">
        <f>'対戦順'!J29</f>
        <v>1</v>
      </c>
      <c r="U42" s="282"/>
      <c r="V42" s="273" t="s">
        <v>401</v>
      </c>
      <c r="W42" s="200" t="str">
        <f>IFERROR(VLOOKUP(V42,'リスト'!$E$2:$F$109,2,FALSE),"")</f>
        <v>19</v>
      </c>
      <c r="X42" s="199" t="str">
        <f>IFERROR(VLOOKUP(W42&amp;"-"&amp;1,'リスト'!$B:$D,2,FALSE),"")</f>
        <v>椿 誠</v>
      </c>
      <c r="Y42" s="199" t="s">
        <v>368</v>
      </c>
      <c r="Z42" s="201" t="str">
        <f>IFERROR(VLOOKUP(W42&amp;"-"&amp;1,'リスト'!$B:$D,3,FALSE),"")</f>
        <v>フリー</v>
      </c>
      <c r="AA42" s="199" t="s">
        <v>369</v>
      </c>
    </row>
    <row r="43" ht="26.25" customHeight="1">
      <c r="A43" s="199"/>
      <c r="C43" s="210" t="str">
        <f>IFERROR(VLOOKUP(B42&amp;"-"&amp;2,'リスト'!$B:$D,2,FALSE),"")</f>
        <v>高木 美穂</v>
      </c>
      <c r="D43" s="210" t="s">
        <v>368</v>
      </c>
      <c r="E43" s="211" t="str">
        <f>IFERROR(VLOOKUP(B42&amp;"-"&amp;2,'リスト'!$B:$D,3,FALSE),"")</f>
        <v>ラフ</v>
      </c>
      <c r="F43" s="210" t="s">
        <v>369</v>
      </c>
      <c r="G43" s="274"/>
      <c r="H43" s="294"/>
      <c r="I43" s="226">
        <f>'対戦順'!I27</f>
        <v>6</v>
      </c>
      <c r="J43" s="254"/>
      <c r="K43" s="205"/>
      <c r="L43" s="228"/>
      <c r="M43" s="205"/>
      <c r="N43" s="206"/>
      <c r="O43" s="206"/>
      <c r="P43" s="207"/>
      <c r="Q43" s="207"/>
      <c r="R43" s="207">
        <f>'対戦順'!I34</f>
        <v>6</v>
      </c>
      <c r="S43" s="278"/>
      <c r="T43" s="231"/>
      <c r="U43" s="209"/>
      <c r="V43" s="244"/>
      <c r="X43" s="210" t="str">
        <f>IFERROR(VLOOKUP(W42&amp;"-"&amp;2,'リスト'!$B:$D,2,FALSE),"")</f>
        <v>椿 保奈瀬</v>
      </c>
      <c r="Y43" s="210" t="s">
        <v>368</v>
      </c>
      <c r="Z43" s="211" t="str">
        <f>IFERROR(VLOOKUP(W42&amp;"-"&amp;2,'リスト'!$B:$D,3,FALSE),"")</f>
        <v>フリー</v>
      </c>
      <c r="AA43" s="210" t="s">
        <v>369</v>
      </c>
    </row>
    <row r="44" ht="26.25" customHeight="1">
      <c r="A44" s="199"/>
      <c r="B44" s="200" t="str">
        <f>IFERROR(VLOOKUP(G44,'リスト'!$E$2:$F$109,2,FALSE),"")</f>
        <v>7</v>
      </c>
      <c r="C44" s="199" t="str">
        <f>IFERROR(VLOOKUP(B44&amp;"-"&amp;1,'リスト'!$B:$D,2,FALSE),"")</f>
        <v>高垣 護</v>
      </c>
      <c r="D44" s="199" t="s">
        <v>368</v>
      </c>
      <c r="E44" s="201" t="str">
        <f>IFERROR(VLOOKUP(B44&amp;"-"&amp;1,'リスト'!$B:$D,3,FALSE),"")</f>
        <v>Drop☆Shot</v>
      </c>
      <c r="F44" s="199" t="s">
        <v>369</v>
      </c>
      <c r="G44" s="272" t="s">
        <v>402</v>
      </c>
      <c r="H44" s="233"/>
      <c r="I44" s="234">
        <f>'対戦順'!J27</f>
        <v>1</v>
      </c>
      <c r="J44" s="205"/>
      <c r="K44" s="205"/>
      <c r="L44" s="228"/>
      <c r="M44" s="280" t="str">
        <f>IFERROR(　IF('対戦順'!I38&gt;'対戦順'!J38, LEFT('対戦順'!D38,FIND(" ",'対戦順'!D38)-1)&amp;"・"&amp;LEFT('対戦順'!E38,FIND(" ",'対戦順'!E38)-1), LEFT('対戦順'!G38,FIND(" ",'対戦順'!G38)-1)&amp;"・"&amp;LEFT('対戦順'!H38,FIND(" ",'対戦順'!H38)-1)),"")</f>
        <v>盛本・仲曽</v>
      </c>
      <c r="Q44" s="223"/>
      <c r="R44" s="274">
        <f>'対戦順'!J34</f>
        <v>1</v>
      </c>
      <c r="S44" s="278"/>
      <c r="T44" s="281"/>
      <c r="U44" s="209"/>
      <c r="V44" s="285" t="s">
        <v>403</v>
      </c>
      <c r="W44" s="200" t="str">
        <f>IFERROR(VLOOKUP(V44,'リスト'!$E$2:$F$109,2,FALSE),"")</f>
        <v>3</v>
      </c>
      <c r="X44" s="199" t="str">
        <f>IFERROR(VLOOKUP(W44&amp;"-"&amp;1,'リスト'!$B:$D,2,FALSE),"")</f>
        <v>西山 禎侑</v>
      </c>
      <c r="Y44" s="199" t="s">
        <v>368</v>
      </c>
      <c r="Z44" s="201" t="str">
        <f>IFERROR(VLOOKUP(W44&amp;"-"&amp;1,'リスト'!$B:$D,3,FALSE),"")</f>
        <v>ｄｏＭｅ</v>
      </c>
      <c r="AA44" s="199" t="s">
        <v>369</v>
      </c>
    </row>
    <row r="45" ht="26.25" customHeight="1">
      <c r="A45" s="199"/>
      <c r="C45" s="210" t="str">
        <f>IFERROR(VLOOKUP(B44&amp;"-"&amp;2,'リスト'!$B:$D,2,FALSE),"")</f>
        <v>門脇 春美</v>
      </c>
      <c r="D45" s="210" t="s">
        <v>368</v>
      </c>
      <c r="E45" s="211" t="str">
        <f>IFERROR(VLOOKUP(B44&amp;"-"&amp;2,'リスト'!$B:$D,3,FALSE),"")</f>
        <v>あみたま</v>
      </c>
      <c r="F45" s="210" t="s">
        <v>369</v>
      </c>
      <c r="G45" s="207"/>
      <c r="H45" s="206"/>
      <c r="I45" s="205"/>
      <c r="J45" s="205"/>
      <c r="K45" s="205"/>
      <c r="L45" s="228"/>
      <c r="M45" s="295" t="str">
        <f>'対戦順'!I38&amp;"-"&amp;'対戦順'!J38</f>
        <v>6-1</v>
      </c>
      <c r="Q45" s="229"/>
      <c r="R45" s="207"/>
      <c r="S45" s="256"/>
      <c r="T45" s="248">
        <f>'対戦順'!I30</f>
        <v>6</v>
      </c>
      <c r="U45" s="232"/>
      <c r="V45" s="275"/>
      <c r="X45" s="210" t="str">
        <f>IFERROR(VLOOKUP(W44&amp;"-"&amp;2,'リスト'!$B:$D,2,FALSE),"")</f>
        <v>小林 さえ子</v>
      </c>
      <c r="Y45" s="210" t="s">
        <v>368</v>
      </c>
      <c r="Z45" s="211" t="str">
        <f>IFERROR(VLOOKUP(W44&amp;"-"&amp;2,'リスト'!$B:$D,3,FALSE),"")</f>
        <v>カプリス</v>
      </c>
      <c r="AA45" s="210" t="s">
        <v>369</v>
      </c>
    </row>
    <row r="46" ht="26.25" customHeight="1">
      <c r="A46" s="199"/>
      <c r="B46" s="200" t="str">
        <f>IFERROR(VLOOKUP(G46,'リスト'!$E$2:$F$109,2,FALSE),"")</f>
        <v>15</v>
      </c>
      <c r="C46" s="199" t="str">
        <f>IFERROR(VLOOKUP(B46&amp;"-"&amp;1,'リスト'!$B:$D,2,FALSE),"")</f>
        <v>網川 忠之</v>
      </c>
      <c r="D46" s="199" t="s">
        <v>368</v>
      </c>
      <c r="E46" s="201" t="str">
        <f>IFERROR(VLOOKUP(B46&amp;"-"&amp;1,'リスト'!$B:$D,3,FALSE),"")</f>
        <v>フリー</v>
      </c>
      <c r="F46" s="199" t="s">
        <v>369</v>
      </c>
      <c r="G46" s="217" t="s">
        <v>404</v>
      </c>
      <c r="H46" s="206"/>
      <c r="I46" s="205"/>
      <c r="J46" s="205"/>
      <c r="K46" s="205"/>
      <c r="L46" s="228"/>
      <c r="M46" s="226">
        <f>'対戦順'!I36</f>
        <v>6</v>
      </c>
      <c r="N46" s="203"/>
      <c r="O46" s="242"/>
      <c r="P46" s="272">
        <f>'対戦順'!I37</f>
        <v>6</v>
      </c>
      <c r="Q46" s="229"/>
      <c r="R46" s="207"/>
      <c r="S46" s="208"/>
      <c r="T46" s="244">
        <f>'対戦順'!J30</f>
        <v>1</v>
      </c>
      <c r="U46" s="282"/>
      <c r="V46" s="273" t="s">
        <v>405</v>
      </c>
      <c r="W46" s="200" t="str">
        <f>IFERROR(VLOOKUP(V46,'リスト'!$E$2:$F$109,2,FALSE),"")</f>
        <v>43</v>
      </c>
      <c r="X46" s="199" t="str">
        <f>IFERROR(VLOOKUP(W46&amp;"-"&amp;1,'リスト'!$B:$D,2,FALSE),"")</f>
        <v>難波 隆顕</v>
      </c>
      <c r="Y46" s="199" t="s">
        <v>368</v>
      </c>
      <c r="Z46" s="201" t="str">
        <f>IFERROR(VLOOKUP(W46&amp;"-"&amp;1,'リスト'!$B:$D,3,FALSE),"")</f>
        <v>プラセール</v>
      </c>
      <c r="AA46" s="199" t="s">
        <v>369</v>
      </c>
    </row>
    <row r="47" ht="26.25" customHeight="1">
      <c r="A47" s="199"/>
      <c r="C47" s="210" t="str">
        <f>IFERROR(VLOOKUP(B46&amp;"-"&amp;2,'リスト'!$B:$D,2,FALSE),"")</f>
        <v>網川 佐知子</v>
      </c>
      <c r="D47" s="210" t="s">
        <v>368</v>
      </c>
      <c r="E47" s="211" t="str">
        <f>IFERROR(VLOOKUP(B46&amp;"-"&amp;2,'リスト'!$B:$D,3,FALSE),"")</f>
        <v>フリー</v>
      </c>
      <c r="F47" s="210" t="s">
        <v>369</v>
      </c>
      <c r="G47" s="274"/>
      <c r="H47" s="225"/>
      <c r="I47" s="216">
        <f>'対戦順'!I28</f>
        <v>6</v>
      </c>
      <c r="J47" s="205"/>
      <c r="K47" s="205"/>
      <c r="L47" s="228"/>
      <c r="M47" s="234">
        <f>'対戦順'!J36</f>
        <v>1</v>
      </c>
      <c r="N47" s="246"/>
      <c r="O47" s="246"/>
      <c r="P47" s="247">
        <f>'対戦順'!J37</f>
        <v>1</v>
      </c>
      <c r="Q47" s="229"/>
      <c r="R47" s="207"/>
      <c r="S47" s="208"/>
      <c r="T47" s="285"/>
      <c r="U47" s="209"/>
      <c r="V47" s="244"/>
      <c r="X47" s="210" t="str">
        <f>IFERROR(VLOOKUP(W46&amp;"-"&amp;2,'リスト'!$B:$D,2,FALSE),"")</f>
        <v>森 順子</v>
      </c>
      <c r="Y47" s="210" t="s">
        <v>368</v>
      </c>
      <c r="Z47" s="211" t="str">
        <f>IFERROR(VLOOKUP(W46&amp;"-"&amp;2,'リスト'!$B:$D,3,FALSE),"")</f>
        <v>フリー</v>
      </c>
      <c r="AA47" s="210" t="s">
        <v>369</v>
      </c>
    </row>
    <row r="48" ht="26.25" customHeight="1">
      <c r="A48" s="199"/>
      <c r="B48" s="200" t="str">
        <f>IFERROR(VLOOKUP(G48,'リスト'!$E$2:$F$109,2,FALSE),"")</f>
        <v>31</v>
      </c>
      <c r="C48" s="199" t="str">
        <f>IFERROR(VLOOKUP(B48&amp;"-"&amp;1,'リスト'!$B:$D,2,FALSE),"")</f>
        <v>砂原 翔</v>
      </c>
      <c r="D48" s="199" t="s">
        <v>368</v>
      </c>
      <c r="E48" s="201" t="str">
        <f>IFERROR(VLOOKUP(B48&amp;"-"&amp;1,'リスト'!$B:$D,3,FALSE),"")</f>
        <v>ｏｆｆ</v>
      </c>
      <c r="F48" s="199" t="s">
        <v>369</v>
      </c>
      <c r="G48" s="272" t="s">
        <v>406</v>
      </c>
      <c r="H48" s="233"/>
      <c r="I48" s="250">
        <f>'対戦順'!J28</f>
        <v>1</v>
      </c>
      <c r="J48" s="215"/>
      <c r="K48" s="276"/>
      <c r="L48" s="228"/>
      <c r="M48" s="205"/>
      <c r="N48" s="206"/>
      <c r="O48" s="206"/>
      <c r="P48" s="251"/>
      <c r="Q48" s="229"/>
      <c r="R48" s="207"/>
      <c r="S48" s="208"/>
      <c r="T48" s="296"/>
      <c r="U48" s="209"/>
      <c r="V48" s="293" t="s">
        <v>407</v>
      </c>
      <c r="W48" s="200" t="str">
        <f>IFERROR(VLOOKUP(V48,'リスト'!$E$2:$F$109,2,FALSE),"")</f>
        <v>35</v>
      </c>
      <c r="X48" s="199" t="str">
        <f>IFERROR(VLOOKUP(W48&amp;"-"&amp;1,'リスト'!$B:$D,2,FALSE),"")</f>
        <v>橋本 真也</v>
      </c>
      <c r="Y48" s="199" t="s">
        <v>368</v>
      </c>
      <c r="Z48" s="201" t="str">
        <f>IFERROR(VLOOKUP(W48&amp;"-"&amp;1,'リスト'!$B:$D,3,FALSE),"")</f>
        <v>Drop☆Shot</v>
      </c>
      <c r="AA48" s="199" t="s">
        <v>369</v>
      </c>
    </row>
    <row r="49" ht="26.25" customHeight="1">
      <c r="A49" s="199"/>
      <c r="C49" s="210" t="str">
        <f>IFERROR(VLOOKUP(B48&amp;"-"&amp;2,'リスト'!$B:$D,2,FALSE),"")</f>
        <v>藤田 登紀子</v>
      </c>
      <c r="D49" s="210" t="s">
        <v>368</v>
      </c>
      <c r="E49" s="211" t="str">
        <f>IFERROR(VLOOKUP(B48&amp;"-"&amp;2,'リスト'!$B:$D,3,FALSE),"")</f>
        <v>フリー</v>
      </c>
      <c r="F49" s="210" t="s">
        <v>369</v>
      </c>
      <c r="G49" s="207"/>
      <c r="H49" s="206"/>
      <c r="I49" s="205"/>
      <c r="J49" s="228"/>
      <c r="K49" s="226">
        <f>'対戦順'!I33</f>
        <v>6</v>
      </c>
      <c r="L49" s="254"/>
      <c r="M49" s="205"/>
      <c r="N49" s="206"/>
      <c r="O49" s="206"/>
      <c r="P49" s="207"/>
      <c r="Q49" s="229"/>
      <c r="R49" s="217"/>
      <c r="S49" s="208"/>
      <c r="T49" s="208">
        <f>'対戦順'!I31</f>
        <v>6</v>
      </c>
      <c r="U49" s="232"/>
      <c r="V49" s="275"/>
      <c r="X49" s="210" t="str">
        <f>IFERROR(VLOOKUP(W48&amp;"-"&amp;2,'リスト'!$B:$D,2,FALSE),"")</f>
        <v>馬嶋 由美子</v>
      </c>
      <c r="Y49" s="210" t="s">
        <v>368</v>
      </c>
      <c r="Z49" s="211" t="str">
        <f>IFERROR(VLOOKUP(W48&amp;"-"&amp;2,'リスト'!$B:$D,3,FALSE),"")</f>
        <v>フリー</v>
      </c>
      <c r="AA49" s="210" t="s">
        <v>369</v>
      </c>
    </row>
    <row r="50" ht="26.25" customHeight="1">
      <c r="A50" s="199"/>
      <c r="B50" s="200" t="str">
        <f>IFERROR(VLOOKUP(G50,'リスト'!$E$2:$F$109,2,FALSE),"")</f>
        <v>12</v>
      </c>
      <c r="C50" s="199" t="str">
        <f>IFERROR(VLOOKUP(B50&amp;"-"&amp;1,'リスト'!$B:$D,2,FALSE),"")</f>
        <v>山下 悠樹</v>
      </c>
      <c r="D50" s="199" t="s">
        <v>368</v>
      </c>
      <c r="E50" s="201" t="str">
        <f>IFERROR(VLOOKUP(B50&amp;"-"&amp;1,'リスト'!$B:$D,3,FALSE),"")</f>
        <v>ｏｆｆ</v>
      </c>
      <c r="F50" s="199" t="s">
        <v>369</v>
      </c>
      <c r="G50" s="272" t="s">
        <v>408</v>
      </c>
      <c r="H50" s="203"/>
      <c r="I50" s="204"/>
      <c r="J50" s="254"/>
      <c r="K50" s="234">
        <f>'対戦順'!J33</f>
        <v>1</v>
      </c>
      <c r="L50" s="205"/>
      <c r="M50" s="205"/>
      <c r="N50" s="206"/>
      <c r="O50" s="206"/>
      <c r="P50" s="207"/>
      <c r="Q50" s="255"/>
      <c r="R50" s="297">
        <f>'対戦順'!I35</f>
        <v>6</v>
      </c>
      <c r="S50" s="218"/>
      <c r="T50" s="219">
        <f>'対戦順'!J31</f>
        <v>1</v>
      </c>
      <c r="U50" s="282"/>
      <c r="V50" s="273" t="s">
        <v>409</v>
      </c>
      <c r="W50" s="200" t="str">
        <f>IFERROR(VLOOKUP(V50,'リスト'!$E$2:$F$109,2,FALSE),"")</f>
        <v>27</v>
      </c>
      <c r="X50" s="199" t="str">
        <f>IFERROR(VLOOKUP(W50&amp;"-"&amp;1,'リスト'!$B:$D,2,FALSE),"")</f>
        <v>田中 達也</v>
      </c>
      <c r="Y50" s="199" t="s">
        <v>368</v>
      </c>
      <c r="Z50" s="201" t="str">
        <f>IFERROR(VLOOKUP(W50&amp;"-"&amp;1,'リスト'!$B:$D,3,FALSE),"")</f>
        <v>たんぽぽ</v>
      </c>
      <c r="AA50" s="199" t="s">
        <v>369</v>
      </c>
    </row>
    <row r="51" ht="26.25" customHeight="1">
      <c r="A51" s="199"/>
      <c r="C51" s="210" t="str">
        <f>IFERROR(VLOOKUP(B50&amp;"-"&amp;2,'リスト'!$B:$D,2,FALSE),"")</f>
        <v>田苗 真里</v>
      </c>
      <c r="D51" s="210" t="s">
        <v>368</v>
      </c>
      <c r="E51" s="211" t="str">
        <f>IFERROR(VLOOKUP(B50&amp;"-"&amp;2,'リスト'!$B:$D,3,FALSE),"")</f>
        <v>フリー</v>
      </c>
      <c r="F51" s="210" t="s">
        <v>369</v>
      </c>
      <c r="G51" s="207"/>
      <c r="H51" s="206"/>
      <c r="I51" s="205"/>
      <c r="J51" s="205"/>
      <c r="K51" s="205"/>
      <c r="L51" s="205"/>
      <c r="M51" s="205"/>
      <c r="N51" s="206"/>
      <c r="O51" s="206"/>
      <c r="P51" s="207"/>
      <c r="Q51" s="207"/>
      <c r="R51" s="207">
        <f>'対戦順'!J35</f>
        <v>1</v>
      </c>
      <c r="S51" s="278"/>
      <c r="T51" s="208"/>
      <c r="U51" s="209"/>
      <c r="V51" s="257"/>
      <c r="X51" s="210" t="str">
        <f>IFERROR(VLOOKUP(W50&amp;"-"&amp;2,'リスト'!$B:$D,2,FALSE),"")</f>
        <v>田渕 夕起子</v>
      </c>
      <c r="Y51" s="210" t="s">
        <v>368</v>
      </c>
      <c r="Z51" s="211" t="str">
        <f>IFERROR(VLOOKUP(W50&amp;"-"&amp;2,'リスト'!$B:$D,3,FALSE),"")</f>
        <v>ポップテニスプラス</v>
      </c>
      <c r="AA51" s="210" t="s">
        <v>369</v>
      </c>
    </row>
    <row r="52" ht="26.25" customHeight="1">
      <c r="A52" s="199"/>
      <c r="B52" s="199"/>
      <c r="C52" s="199"/>
      <c r="D52" s="199"/>
      <c r="E52" s="298"/>
      <c r="F52" s="199"/>
      <c r="G52" s="260"/>
      <c r="H52" s="260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99"/>
      <c r="T52" s="300"/>
      <c r="U52" s="301"/>
      <c r="V52" s="273" t="s">
        <v>410</v>
      </c>
      <c r="W52" s="200" t="str">
        <f>IFERROR(VLOOKUP(V52,'リスト'!$E$2:$F$109,2,FALSE),"")</f>
        <v>47</v>
      </c>
      <c r="X52" s="199" t="str">
        <f>IFERROR(VLOOKUP(W52&amp;"-"&amp;1,'リスト'!$B:$D,2,FALSE),"")</f>
        <v>吉田 浩士</v>
      </c>
      <c r="Y52" s="199" t="s">
        <v>368</v>
      </c>
      <c r="Z52" s="201" t="str">
        <f>IFERROR(VLOOKUP(W52&amp;"-"&amp;1,'リスト'!$B:$D,3,FALSE),"")</f>
        <v>ノーレット７</v>
      </c>
      <c r="AA52" s="199" t="s">
        <v>369</v>
      </c>
    </row>
    <row r="53" ht="26.25" customHeight="1">
      <c r="A53" s="199"/>
      <c r="C53" s="199"/>
      <c r="D53" s="199"/>
      <c r="E53" s="298"/>
      <c r="F53" s="199"/>
      <c r="G53" s="260"/>
      <c r="H53" s="260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44"/>
      <c r="T53" s="244"/>
      <c r="U53" s="302"/>
      <c r="V53" s="302"/>
      <c r="X53" s="210" t="str">
        <f>IFERROR(VLOOKUP(W52&amp;"-"&amp;2,'リスト'!$B:$D,2,FALSE),"")</f>
        <v>岡田 友子</v>
      </c>
      <c r="Y53" s="210" t="s">
        <v>368</v>
      </c>
      <c r="Z53" s="211" t="str">
        <f>IFERROR(VLOOKUP(W52&amp;"-"&amp;2,'リスト'!$B:$D,3,FALSE),"")</f>
        <v>ノーレット７</v>
      </c>
      <c r="AA53" s="210" t="s">
        <v>369</v>
      </c>
    </row>
    <row r="54">
      <c r="E54" s="263"/>
      <c r="Z54" s="198"/>
    </row>
    <row r="55">
      <c r="A55" s="186"/>
      <c r="B55" s="187"/>
      <c r="C55" s="187"/>
      <c r="D55" s="187"/>
      <c r="E55" s="188"/>
      <c r="F55" s="187"/>
      <c r="G55" s="187"/>
      <c r="H55" s="187"/>
      <c r="I55" s="187"/>
      <c r="J55" s="187"/>
      <c r="K55" s="187"/>
      <c r="L55" s="187"/>
      <c r="M55" s="189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1"/>
      <c r="AA55" s="190"/>
      <c r="AB55" s="189"/>
    </row>
    <row r="56">
      <c r="A56" s="186"/>
      <c r="B56" s="303" t="s">
        <v>411</v>
      </c>
      <c r="C56" s="193"/>
      <c r="D56" s="193"/>
      <c r="E56" s="193"/>
      <c r="F56" s="193"/>
      <c r="G56" s="193"/>
      <c r="H56" s="193"/>
      <c r="I56" s="193"/>
      <c r="J56" s="193"/>
      <c r="K56" s="193"/>
      <c r="L56" s="194"/>
      <c r="M56" s="189"/>
      <c r="N56" s="76" t="str">
        <f>TRIM('予選'!$A$1)</f>
        <v>　 　　　　　 サンプル</v>
      </c>
      <c r="AA56" s="190"/>
      <c r="AB56" s="189"/>
    </row>
    <row r="57">
      <c r="A57" s="195"/>
      <c r="B57" s="195"/>
      <c r="C57" s="195"/>
      <c r="D57" s="195"/>
      <c r="E57" s="196"/>
      <c r="F57" s="195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304"/>
      <c r="S57" s="305"/>
      <c r="T57" s="305"/>
      <c r="U57" s="305"/>
      <c r="V57" s="306"/>
      <c r="W57" s="195"/>
      <c r="Z57" s="198"/>
    </row>
    <row r="58" ht="26.25" customHeight="1">
      <c r="A58" s="199"/>
      <c r="B58" s="200" t="str">
        <f>IFERROR(VLOOKUP(G58,'リスト'!$E$2:$F$109,2,FALSE),"")</f>
        <v/>
      </c>
      <c r="C58" s="199" t="str">
        <f>IFERROR(VLOOKUP(B58&amp;"-"&amp;1,'リスト'!$B:$D,2,FALSE),"")</f>
        <v/>
      </c>
      <c r="D58" s="199" t="s">
        <v>368</v>
      </c>
      <c r="E58" s="201" t="str">
        <f>IFERROR(VLOOKUP(B58&amp;"-"&amp;1,'リスト'!$B:$D,3,FALSE),"")</f>
        <v/>
      </c>
      <c r="F58" s="199" t="s">
        <v>369</v>
      </c>
      <c r="G58" s="272" t="s">
        <v>412</v>
      </c>
      <c r="H58" s="203"/>
      <c r="I58" s="205"/>
      <c r="J58" s="205"/>
      <c r="K58" s="276"/>
      <c r="L58" s="205"/>
      <c r="M58" s="205"/>
      <c r="N58" s="206"/>
      <c r="O58" s="206"/>
      <c r="P58" s="207"/>
      <c r="Q58" s="207"/>
      <c r="R58" s="207"/>
      <c r="S58" s="208"/>
      <c r="T58" s="208"/>
      <c r="U58" s="209"/>
      <c r="V58" s="293" t="s">
        <v>413</v>
      </c>
      <c r="W58" s="200" t="str">
        <f>IFERROR(VLOOKUP(V58,'リスト'!$E$2:$F$109,2,FALSE),"")</f>
        <v>32</v>
      </c>
      <c r="X58" s="199" t="str">
        <f>IFERROR(VLOOKUP(W58&amp;"-"&amp;1,'リスト'!$B:$D,2,FALSE),"")</f>
        <v>外園 真都</v>
      </c>
      <c r="Y58" s="199" t="s">
        <v>368</v>
      </c>
      <c r="Z58" s="201" t="str">
        <f>IFERROR(VLOOKUP(W58&amp;"-"&amp;1,'リスト'!$B:$D,3,FALSE),"")</f>
        <v>鳥取環境大</v>
      </c>
      <c r="AA58" s="199" t="s">
        <v>369</v>
      </c>
    </row>
    <row r="59" ht="26.25" customHeight="1">
      <c r="A59" s="199"/>
      <c r="C59" s="210" t="str">
        <f>IFERROR(VLOOKUP(B58&amp;"-"&amp;2,'リスト'!$B:$D,2,FALSE),"")</f>
        <v/>
      </c>
      <c r="D59" s="210" t="s">
        <v>368</v>
      </c>
      <c r="E59" s="211" t="str">
        <f>IFERROR(VLOOKUP(B58&amp;"-"&amp;2,'リスト'!$B:$D,3,FALSE),"")</f>
        <v/>
      </c>
      <c r="F59" s="210" t="s">
        <v>369</v>
      </c>
      <c r="G59" s="274"/>
      <c r="H59" s="213"/>
      <c r="I59" s="214"/>
      <c r="J59" s="215"/>
      <c r="K59" s="216">
        <f>'対戦順'!I46</f>
        <v>6</v>
      </c>
      <c r="L59" s="205"/>
      <c r="M59" s="205"/>
      <c r="N59" s="206"/>
      <c r="O59" s="206"/>
      <c r="P59" s="207"/>
      <c r="Q59" s="207"/>
      <c r="R59" s="207"/>
      <c r="S59" s="207"/>
      <c r="T59" s="207">
        <f>'対戦順'!I42</f>
        <v>6</v>
      </c>
      <c r="U59" s="223"/>
      <c r="V59" s="307"/>
      <c r="X59" s="210" t="str">
        <f>IFERROR(VLOOKUP(W58&amp;"-"&amp;2,'リスト'!$B:$D,2,FALSE),"")</f>
        <v>船越 海希</v>
      </c>
      <c r="Y59" s="210" t="s">
        <v>368</v>
      </c>
      <c r="Z59" s="211" t="str">
        <f>IFERROR(VLOOKUP(W58&amp;"-"&amp;2,'リスト'!$B:$D,3,FALSE),"")</f>
        <v>鳥取環境大</v>
      </c>
      <c r="AA59" s="210" t="s">
        <v>369</v>
      </c>
    </row>
    <row r="60" ht="26.25" customHeight="1">
      <c r="A60" s="199"/>
      <c r="B60" s="200" t="str">
        <f>IFERROR(VLOOKUP(G60,'リスト'!$E$2:$F$109,2,FALSE),"")</f>
        <v>44</v>
      </c>
      <c r="C60" s="199" t="str">
        <f>IFERROR(VLOOKUP(B60&amp;"-"&amp;1,'リスト'!$B:$D,2,FALSE),"")</f>
        <v>檜垣 直斗</v>
      </c>
      <c r="D60" s="199" t="s">
        <v>368</v>
      </c>
      <c r="E60" s="201" t="str">
        <f>IFERROR(VLOOKUP(B60&amp;"-"&amp;1,'リスト'!$B:$D,3,FALSE),"")</f>
        <v>フリー</v>
      </c>
      <c r="F60" s="199" t="s">
        <v>369</v>
      </c>
      <c r="G60" s="217" t="s">
        <v>414</v>
      </c>
      <c r="H60" s="206"/>
      <c r="I60" s="205"/>
      <c r="J60" s="228"/>
      <c r="K60" s="250">
        <f>'対戦順'!J46</f>
        <v>1</v>
      </c>
      <c r="L60" s="215"/>
      <c r="M60" s="205"/>
      <c r="N60" s="206"/>
      <c r="O60" s="206"/>
      <c r="P60" s="207"/>
      <c r="Q60" s="207"/>
      <c r="R60" s="207"/>
      <c r="S60" s="223"/>
      <c r="T60" s="274">
        <f>'対戦順'!J42</f>
        <v>1</v>
      </c>
      <c r="U60" s="255"/>
      <c r="V60" s="273" t="s">
        <v>415</v>
      </c>
      <c r="W60" s="200" t="str">
        <f>IFERROR(VLOOKUP(V60,'リスト'!$E$2:$F$109,2,FALSE),"")</f>
        <v>4</v>
      </c>
      <c r="X60" s="199" t="str">
        <f>IFERROR(VLOOKUP(W60&amp;"-"&amp;1,'リスト'!$B:$D,2,FALSE),"")</f>
        <v>三宅 諒弥</v>
      </c>
      <c r="Y60" s="199" t="s">
        <v>368</v>
      </c>
      <c r="Z60" s="201" t="str">
        <f>IFERROR(VLOOKUP(W60&amp;"-"&amp;1,'リスト'!$B:$D,3,FALSE),"")</f>
        <v>鳥取銀行</v>
      </c>
      <c r="AA60" s="199" t="s">
        <v>369</v>
      </c>
    </row>
    <row r="61" ht="26.25" customHeight="1">
      <c r="A61" s="199"/>
      <c r="C61" s="210" t="str">
        <f>IFERROR(VLOOKUP(B60&amp;"-"&amp;2,'リスト'!$B:$D,2,FALSE),"")</f>
        <v>橋本 舞子</v>
      </c>
      <c r="D61" s="210" t="s">
        <v>368</v>
      </c>
      <c r="E61" s="211" t="str">
        <f>IFERROR(VLOOKUP(B60&amp;"-"&amp;2,'リスト'!$B:$D,3,FALSE),"")</f>
        <v>スポーツショップハート</v>
      </c>
      <c r="F61" s="210" t="s">
        <v>369</v>
      </c>
      <c r="G61" s="274"/>
      <c r="H61" s="225"/>
      <c r="I61" s="226"/>
      <c r="J61" s="254"/>
      <c r="K61" s="205"/>
      <c r="L61" s="228"/>
      <c r="M61" s="205"/>
      <c r="N61" s="206"/>
      <c r="O61" s="206"/>
      <c r="P61" s="207"/>
      <c r="Q61" s="207"/>
      <c r="R61" s="207">
        <f>'対戦順'!I48</f>
        <v>7</v>
      </c>
      <c r="S61" s="229"/>
      <c r="T61" s="207"/>
      <c r="U61" s="207"/>
      <c r="V61" s="289"/>
      <c r="X61" s="210" t="str">
        <f>IFERROR(VLOOKUP(W60&amp;"-"&amp;2,'リスト'!$B:$D,2,FALSE),"")</f>
        <v>山本 桂</v>
      </c>
      <c r="Y61" s="210" t="s">
        <v>368</v>
      </c>
      <c r="Z61" s="211" t="str">
        <f>IFERROR(VLOOKUP(W60&amp;"-"&amp;2,'リスト'!$B:$D,3,FALSE),"")</f>
        <v>たんぽぽ</v>
      </c>
      <c r="AA61" s="210" t="s">
        <v>369</v>
      </c>
    </row>
    <row r="62" ht="26.25" customHeight="1">
      <c r="A62" s="199"/>
      <c r="B62" s="200" t="str">
        <f>IFERROR(VLOOKUP(G62,'リスト'!$E$2:$F$109,2,FALSE),"")</f>
        <v>24</v>
      </c>
      <c r="C62" s="199" t="str">
        <f>IFERROR(VLOOKUP(B62&amp;"-"&amp;1,'リスト'!$B:$D,2,FALSE),"")</f>
        <v>山本 和弥</v>
      </c>
      <c r="D62" s="199" t="s">
        <v>368</v>
      </c>
      <c r="E62" s="201" t="str">
        <f>IFERROR(VLOOKUP(B62&amp;"-"&amp;1,'リスト'!$B:$D,3,FALSE),"")</f>
        <v>オレンジ</v>
      </c>
      <c r="F62" s="199" t="s">
        <v>369</v>
      </c>
      <c r="G62" s="272" t="s">
        <v>416</v>
      </c>
      <c r="H62" s="233"/>
      <c r="I62" s="234">
        <f>'対戦順'!J39</f>
        <v>1</v>
      </c>
      <c r="J62" s="205"/>
      <c r="K62" s="205"/>
      <c r="L62" s="228"/>
      <c r="M62" s="280" t="str">
        <f>IFERROR(IF('対戦順'!I52&gt;'対戦順'!J52, LEFT('対戦順'!D52,FIND(" ",'対戦順'!D52)-1)&amp;"・"&amp;LEFT('対戦順'!E52,FIND(" ",'対戦順'!E52)-1), LEFT('対戦順'!G52,FIND(" ",'対戦順'!G52)-1)&amp;"・"&amp;LEFT('対戦順'!H52,FIND(" ",'対戦順'!H52)-1)),"")</f>
        <v>西口・西口</v>
      </c>
      <c r="Q62" s="223"/>
      <c r="R62" s="274">
        <f>'対戦順'!J48</f>
        <v>6</v>
      </c>
      <c r="S62" s="229"/>
      <c r="T62" s="207"/>
      <c r="U62" s="207"/>
      <c r="V62" s="293" t="s">
        <v>417</v>
      </c>
      <c r="W62" s="200" t="str">
        <f>IFERROR(VLOOKUP(V62,'リスト'!$E$2:$F$109,2,FALSE),"")</f>
        <v>20</v>
      </c>
      <c r="X62" s="199" t="str">
        <f>IFERROR(VLOOKUP(W62&amp;"-"&amp;1,'リスト'!$B:$D,2,FALSE),"")</f>
        <v>町田 正雄</v>
      </c>
      <c r="Y62" s="199" t="s">
        <v>368</v>
      </c>
      <c r="Z62" s="201" t="str">
        <f>IFERROR(VLOOKUP(W62&amp;"-"&amp;1,'リスト'!$B:$D,3,FALSE),"")</f>
        <v>因幡打輪</v>
      </c>
      <c r="AA62" s="199" t="s">
        <v>369</v>
      </c>
    </row>
    <row r="63" ht="26.25" customHeight="1">
      <c r="A63" s="199"/>
      <c r="C63" s="210" t="str">
        <f>IFERROR(VLOOKUP(B62&amp;"-"&amp;2,'リスト'!$B:$D,2,FALSE),"")</f>
        <v>濱田 久美</v>
      </c>
      <c r="D63" s="210" t="s">
        <v>368</v>
      </c>
      <c r="E63" s="211" t="str">
        <f>IFERROR(VLOOKUP(B62&amp;"-"&amp;2,'リスト'!$B:$D,3,FALSE),"")</f>
        <v>フリー</v>
      </c>
      <c r="F63" s="210" t="s">
        <v>369</v>
      </c>
      <c r="G63" s="207"/>
      <c r="H63" s="206"/>
      <c r="I63" s="205"/>
      <c r="J63" s="205"/>
      <c r="K63" s="205"/>
      <c r="L63" s="228"/>
      <c r="M63" s="295" t="str">
        <f>'対戦順'!I52&amp;"-"&amp;'対戦順'!J52</f>
        <v>6-7</v>
      </c>
      <c r="Q63" s="229"/>
      <c r="R63" s="207"/>
      <c r="S63" s="255"/>
      <c r="T63" s="308">
        <f>'対戦順'!I43</f>
        <v>6</v>
      </c>
      <c r="U63" s="223"/>
      <c r="V63" s="307"/>
      <c r="X63" s="210" t="str">
        <f>IFERROR(VLOOKUP(W62&amp;"-"&amp;2,'リスト'!$B:$D,2,FALSE),"")</f>
        <v>町田 聖子</v>
      </c>
      <c r="Y63" s="210" t="s">
        <v>368</v>
      </c>
      <c r="Z63" s="211" t="str">
        <f>IFERROR(VLOOKUP(W62&amp;"-"&amp;2,'リスト'!$B:$D,3,FALSE),"")</f>
        <v>因幡打輪</v>
      </c>
      <c r="AA63" s="210" t="s">
        <v>369</v>
      </c>
    </row>
    <row r="64" ht="26.25" customHeight="1">
      <c r="A64" s="199"/>
      <c r="B64" s="200" t="str">
        <f>IFERROR(VLOOKUP(G64,'リスト'!$E$2:$F$109,2,FALSE),"")</f>
        <v>53</v>
      </c>
      <c r="C64" s="199" t="str">
        <f>IFERROR(VLOOKUP(B64&amp;"-"&amp;1,'リスト'!$B:$D,2,FALSE),"")</f>
        <v>吉田 拳士</v>
      </c>
      <c r="D64" s="199" t="s">
        <v>368</v>
      </c>
      <c r="E64" s="201" t="str">
        <f>IFERROR(VLOOKUP(B64&amp;"-"&amp;1,'リスト'!$B:$D,3,FALSE),"")</f>
        <v>サニーテニス</v>
      </c>
      <c r="F64" s="199" t="s">
        <v>369</v>
      </c>
      <c r="G64" s="217" t="s">
        <v>418</v>
      </c>
      <c r="H64" s="206"/>
      <c r="I64" s="205"/>
      <c r="J64" s="205"/>
      <c r="K64" s="205"/>
      <c r="L64" s="228"/>
      <c r="M64" s="226">
        <f>'対戦順'!I50</f>
        <v>3</v>
      </c>
      <c r="N64" s="203"/>
      <c r="O64" s="242"/>
      <c r="P64" s="272">
        <f>'対戦順'!I51</f>
        <v>6</v>
      </c>
      <c r="Q64" s="229"/>
      <c r="R64" s="207"/>
      <c r="S64" s="207"/>
      <c r="T64" s="207">
        <f>'対戦順'!J43</f>
        <v>1</v>
      </c>
      <c r="U64" s="255"/>
      <c r="V64" s="273" t="s">
        <v>419</v>
      </c>
      <c r="W64" s="200" t="str">
        <f>IFERROR(VLOOKUP(V64,'リスト'!$E$2:$F$109,2,FALSE),"")</f>
        <v>49</v>
      </c>
      <c r="X64" s="199" t="str">
        <f>IFERROR(VLOOKUP(W64&amp;"-"&amp;1,'リスト'!$B:$D,2,FALSE),"")</f>
        <v>清水 貴志</v>
      </c>
      <c r="Y64" s="199" t="s">
        <v>368</v>
      </c>
      <c r="Z64" s="201" t="str">
        <f>IFERROR(VLOOKUP(W64&amp;"-"&amp;1,'リスト'!$B:$D,3,FALSE),"")</f>
        <v>フリー</v>
      </c>
      <c r="AA64" s="199" t="s">
        <v>369</v>
      </c>
    </row>
    <row r="65" ht="26.25" customHeight="1">
      <c r="A65" s="199"/>
      <c r="C65" s="210" t="str">
        <f>IFERROR(VLOOKUP(B64&amp;"-"&amp;2,'リスト'!$B:$D,2,FALSE),"")</f>
        <v>吉田 由乃</v>
      </c>
      <c r="D65" s="210" t="s">
        <v>368</v>
      </c>
      <c r="E65" s="211" t="str">
        <f>IFERROR(VLOOKUP(B64&amp;"-"&amp;2,'リスト'!$B:$D,3,FALSE),"")</f>
        <v>サニーテニス</v>
      </c>
      <c r="F65" s="210" t="s">
        <v>369</v>
      </c>
      <c r="G65" s="274"/>
      <c r="H65" s="225"/>
      <c r="I65" s="216">
        <f>'対戦順'!I40</f>
        <v>6</v>
      </c>
      <c r="J65" s="205"/>
      <c r="K65" s="205"/>
      <c r="L65" s="228"/>
      <c r="M65" s="234">
        <f>'対戦順'!J50</f>
        <v>6</v>
      </c>
      <c r="N65" s="246"/>
      <c r="O65" s="246"/>
      <c r="P65" s="247">
        <f>'対戦順'!J51</f>
        <v>7</v>
      </c>
      <c r="Q65" s="229"/>
      <c r="R65" s="207"/>
      <c r="S65" s="207"/>
      <c r="T65" s="207"/>
      <c r="U65" s="207"/>
      <c r="V65" s="289"/>
      <c r="X65" s="210" t="str">
        <f>IFERROR(VLOOKUP(W64&amp;"-"&amp;2,'リスト'!$B:$D,2,FALSE),"")</f>
        <v>大田 陽子</v>
      </c>
      <c r="Y65" s="210" t="s">
        <v>368</v>
      </c>
      <c r="Z65" s="211" t="str">
        <f>IFERROR(VLOOKUP(W64&amp;"-"&amp;2,'リスト'!$B:$D,3,FALSE),"")</f>
        <v>たんぽぽ</v>
      </c>
      <c r="AA65" s="210" t="s">
        <v>369</v>
      </c>
    </row>
    <row r="66" ht="26.25" customHeight="1">
      <c r="A66" s="199"/>
      <c r="B66" s="200" t="str">
        <f>IFERROR(VLOOKUP(G66,'リスト'!$E$2:$F$109,2,FALSE),"")</f>
        <v>28</v>
      </c>
      <c r="C66" s="199" t="str">
        <f>IFERROR(VLOOKUP(B66&amp;"-"&amp;1,'リスト'!$B:$D,2,FALSE),"")</f>
        <v>中村 匡延</v>
      </c>
      <c r="D66" s="199" t="s">
        <v>368</v>
      </c>
      <c r="E66" s="201" t="str">
        <f>IFERROR(VLOOKUP(B66&amp;"-"&amp;1,'リスト'!$B:$D,3,FALSE),"")</f>
        <v>プラセール</v>
      </c>
      <c r="F66" s="199" t="s">
        <v>369</v>
      </c>
      <c r="G66" s="272" t="s">
        <v>420</v>
      </c>
      <c r="H66" s="233"/>
      <c r="I66" s="250">
        <f>'対戦順'!J40</f>
        <v>1</v>
      </c>
      <c r="J66" s="215"/>
      <c r="K66" s="205"/>
      <c r="L66" s="228"/>
      <c r="M66" s="205"/>
      <c r="N66" s="206"/>
      <c r="O66" s="206"/>
      <c r="P66" s="251"/>
      <c r="Q66" s="229"/>
      <c r="R66" s="207"/>
      <c r="S66" s="207"/>
      <c r="T66" s="207"/>
      <c r="U66" s="207"/>
      <c r="V66" s="293" t="s">
        <v>421</v>
      </c>
      <c r="W66" s="200" t="str">
        <f>IFERROR(VLOOKUP(V66,'リスト'!$E$2:$F$109,2,FALSE),"")</f>
        <v>54</v>
      </c>
      <c r="X66" s="199" t="str">
        <f>IFERROR(VLOOKUP(W66&amp;"-"&amp;1,'リスト'!$B:$D,2,FALSE),"")</f>
        <v>遠藤 絢弥</v>
      </c>
      <c r="Y66" s="199" t="s">
        <v>368</v>
      </c>
      <c r="Z66" s="201" t="str">
        <f>IFERROR(VLOOKUP(W66&amp;"-"&amp;1,'リスト'!$B:$D,3,FALSE),"")</f>
        <v>フリー</v>
      </c>
      <c r="AA66" s="199" t="s">
        <v>369</v>
      </c>
    </row>
    <row r="67" ht="26.25" customHeight="1">
      <c r="A67" s="199"/>
      <c r="C67" s="210" t="str">
        <f>IFERROR(VLOOKUP(B66&amp;"-"&amp;2,'リスト'!$B:$D,2,FALSE),"")</f>
        <v>伊吹 優子</v>
      </c>
      <c r="D67" s="210" t="s">
        <v>368</v>
      </c>
      <c r="E67" s="211" t="str">
        <f>IFERROR(VLOOKUP(B66&amp;"-"&amp;2,'リスト'!$B:$D,3,FALSE),"")</f>
        <v>ノーレット７</v>
      </c>
      <c r="F67" s="210" t="s">
        <v>369</v>
      </c>
      <c r="G67" s="207"/>
      <c r="H67" s="206"/>
      <c r="I67" s="205"/>
      <c r="J67" s="228"/>
      <c r="K67" s="226">
        <f>'対戦順'!I47</f>
        <v>4</v>
      </c>
      <c r="L67" s="254"/>
      <c r="M67" s="205"/>
      <c r="N67" s="206"/>
      <c r="O67" s="206"/>
      <c r="P67" s="207"/>
      <c r="Q67" s="229"/>
      <c r="R67" s="207"/>
      <c r="S67" s="207"/>
      <c r="T67" s="207">
        <f>'対戦順'!I44</f>
        <v>6</v>
      </c>
      <c r="U67" s="223"/>
      <c r="V67" s="307"/>
      <c r="X67" s="210" t="str">
        <f>IFERROR(VLOOKUP(W66&amp;"-"&amp;2,'リスト'!$B:$D,2,FALSE),"")</f>
        <v>遠藤 夏希</v>
      </c>
      <c r="Y67" s="210" t="s">
        <v>368</v>
      </c>
      <c r="Z67" s="211" t="str">
        <f>IFERROR(VLOOKUP(W66&amp;"-"&amp;2,'リスト'!$B:$D,3,FALSE),"")</f>
        <v>湖山池ＴＣ</v>
      </c>
      <c r="AA67" s="210" t="s">
        <v>369</v>
      </c>
    </row>
    <row r="68" ht="26.25" customHeight="1">
      <c r="A68" s="199"/>
      <c r="B68" s="200" t="str">
        <f>IFERROR(VLOOKUP(G68,'リスト'!$E$2:$F$109,2,FALSE),"")</f>
        <v>48</v>
      </c>
      <c r="C68" s="199" t="str">
        <f>IFERROR(VLOOKUP(B68&amp;"-"&amp;1,'リスト'!$B:$D,2,FALSE),"")</f>
        <v>藤田 和幸</v>
      </c>
      <c r="D68" s="199" t="s">
        <v>368</v>
      </c>
      <c r="E68" s="201" t="str">
        <f>IFERROR(VLOOKUP(B68&amp;"-"&amp;1,'リスト'!$B:$D,3,FALSE),"")</f>
        <v>フリー</v>
      </c>
      <c r="F68" s="199" t="s">
        <v>369</v>
      </c>
      <c r="G68" s="217" t="s">
        <v>422</v>
      </c>
      <c r="H68" s="206"/>
      <c r="I68" s="205"/>
      <c r="J68" s="228"/>
      <c r="K68" s="234">
        <f>'対戦順'!J47</f>
        <v>6</v>
      </c>
      <c r="L68" s="205"/>
      <c r="M68" s="205"/>
      <c r="N68" s="206"/>
      <c r="O68" s="206"/>
      <c r="P68" s="207"/>
      <c r="Q68" s="229"/>
      <c r="R68" s="207"/>
      <c r="S68" s="223"/>
      <c r="T68" s="274">
        <f>'対戦順'!J44</f>
        <v>1</v>
      </c>
      <c r="U68" s="255"/>
      <c r="V68" s="273" t="s">
        <v>423</v>
      </c>
      <c r="W68" s="200" t="str">
        <f>IFERROR(VLOOKUP(V68,'リスト'!$E$2:$F$109,2,FALSE),"")</f>
        <v>16</v>
      </c>
      <c r="X68" s="199" t="str">
        <f>IFERROR(VLOOKUP(W68&amp;"-"&amp;1,'リスト'!$B:$D,2,FALSE),"")</f>
        <v>羽馬 由和</v>
      </c>
      <c r="Y68" s="199" t="s">
        <v>368</v>
      </c>
      <c r="Z68" s="201" t="str">
        <f>IFERROR(VLOOKUP(W68&amp;"-"&amp;1,'リスト'!$B:$D,3,FALSE),"")</f>
        <v>オレンジ</v>
      </c>
      <c r="AA68" s="199" t="s">
        <v>369</v>
      </c>
    </row>
    <row r="69" ht="26.25" customHeight="1">
      <c r="A69" s="199"/>
      <c r="C69" s="210" t="str">
        <f>IFERROR(VLOOKUP(B68&amp;"-"&amp;2,'リスト'!$B:$D,2,FALSE),"")</f>
        <v>藤田 美和</v>
      </c>
      <c r="D69" s="210" t="s">
        <v>368</v>
      </c>
      <c r="E69" s="211" t="str">
        <f>IFERROR(VLOOKUP(B68&amp;"-"&amp;2,'リスト'!$B:$D,3,FALSE),"")</f>
        <v>フリー</v>
      </c>
      <c r="F69" s="210" t="s">
        <v>369</v>
      </c>
      <c r="G69" s="274"/>
      <c r="H69" s="225"/>
      <c r="I69" s="226">
        <f>'対戦順'!I41</f>
        <v>6</v>
      </c>
      <c r="J69" s="254"/>
      <c r="K69" s="205"/>
      <c r="L69" s="205"/>
      <c r="M69" s="205"/>
      <c r="N69" s="206"/>
      <c r="O69" s="206"/>
      <c r="P69" s="207"/>
      <c r="Q69" s="255"/>
      <c r="R69" s="308">
        <f>'対戦順'!I49</f>
        <v>6</v>
      </c>
      <c r="S69" s="229"/>
      <c r="T69" s="207"/>
      <c r="U69" s="207"/>
      <c r="V69" s="289"/>
      <c r="X69" s="210" t="str">
        <f>IFERROR(VLOOKUP(W68&amp;"-"&amp;2,'リスト'!$B:$D,2,FALSE),"")</f>
        <v>杉原 三奈</v>
      </c>
      <c r="Y69" s="210" t="s">
        <v>368</v>
      </c>
      <c r="Z69" s="211" t="str">
        <f>IFERROR(VLOOKUP(W68&amp;"-"&amp;2,'リスト'!$B:$D,3,FALSE),"")</f>
        <v>ジュピター</v>
      </c>
      <c r="AA69" s="210" t="s">
        <v>369</v>
      </c>
    </row>
    <row r="70" ht="26.25" customHeight="1">
      <c r="A70" s="199"/>
      <c r="B70" s="200" t="str">
        <f>IFERROR(VLOOKUP(G70,'リスト'!$E$2:$F$109,2,FALSE),"")</f>
        <v>40</v>
      </c>
      <c r="C70" s="199" t="str">
        <f>IFERROR(VLOOKUP(B70&amp;"-"&amp;1,'リスト'!$B:$D,2,FALSE),"")</f>
        <v>高木 克憲</v>
      </c>
      <c r="D70" s="199" t="s">
        <v>368</v>
      </c>
      <c r="E70" s="201" t="str">
        <f>IFERROR(VLOOKUP(B70&amp;"-"&amp;1,'リスト'!$B:$D,3,FALSE),"")</f>
        <v>ｏｆｆ</v>
      </c>
      <c r="F70" s="199" t="s">
        <v>369</v>
      </c>
      <c r="G70" s="226" t="s">
        <v>424</v>
      </c>
      <c r="H70" s="254"/>
      <c r="I70" s="234">
        <f>'対戦順'!J41</f>
        <v>1</v>
      </c>
      <c r="J70" s="205"/>
      <c r="K70" s="205"/>
      <c r="L70" s="207"/>
      <c r="M70" s="207"/>
      <c r="N70" s="207"/>
      <c r="O70" s="207"/>
      <c r="P70" s="207"/>
      <c r="Q70" s="207"/>
      <c r="R70" s="207">
        <f>'対戦順'!J49</f>
        <v>7</v>
      </c>
      <c r="S70" s="229"/>
      <c r="T70" s="207"/>
      <c r="U70" s="207"/>
      <c r="V70" s="293" t="s">
        <v>425</v>
      </c>
      <c r="W70" s="200" t="str">
        <f>IFERROR(VLOOKUP(V70,'リスト'!$E$2:$F$109,2,FALSE),"")</f>
        <v>36</v>
      </c>
      <c r="X70" s="199" t="str">
        <f>IFERROR(VLOOKUP(W70&amp;"-"&amp;1,'リスト'!$B:$D,2,FALSE),"")</f>
        <v>西口 幸雄</v>
      </c>
      <c r="Y70" s="199" t="s">
        <v>368</v>
      </c>
      <c r="Z70" s="201" t="str">
        <f>IFERROR(VLOOKUP(W70&amp;"-"&amp;1,'リスト'!$B:$D,3,FALSE),"")</f>
        <v>プラセール</v>
      </c>
      <c r="AA70" s="199" t="s">
        <v>369</v>
      </c>
    </row>
    <row r="71" ht="26.25" customHeight="1">
      <c r="A71" s="199"/>
      <c r="C71" s="210" t="str">
        <f>IFERROR(VLOOKUP(B70&amp;"-"&amp;2,'リスト'!$B:$D,2,FALSE),"")</f>
        <v>田中 好美</v>
      </c>
      <c r="D71" s="210" t="s">
        <v>368</v>
      </c>
      <c r="E71" s="211" t="str">
        <f>IFERROR(VLOOKUP(B70&amp;"-"&amp;2,'リスト'!$B:$D,3,FALSE),"")</f>
        <v>あみたま</v>
      </c>
      <c r="F71" s="210" t="s">
        <v>369</v>
      </c>
      <c r="G71" s="309"/>
      <c r="H71" s="205"/>
      <c r="I71" s="205"/>
      <c r="J71" s="205"/>
      <c r="K71" s="205"/>
      <c r="L71" s="207"/>
      <c r="M71" s="207"/>
      <c r="N71" s="207"/>
      <c r="O71" s="207"/>
      <c r="P71" s="207"/>
      <c r="Q71" s="207"/>
      <c r="R71" s="207"/>
      <c r="S71" s="310"/>
      <c r="T71" s="308">
        <f>'対戦順'!I45</f>
        <v>6</v>
      </c>
      <c r="U71" s="223"/>
      <c r="V71" s="307"/>
      <c r="X71" s="210" t="str">
        <f>IFERROR(VLOOKUP(W70&amp;"-"&amp;2,'リスト'!$B:$D,2,FALSE),"")</f>
        <v>西口 栄子</v>
      </c>
      <c r="Y71" s="210" t="s">
        <v>368</v>
      </c>
      <c r="Z71" s="211" t="str">
        <f>IFERROR(VLOOKUP(W70&amp;"-"&amp;2,'リスト'!$B:$D,3,FALSE),"")</f>
        <v>プラセール</v>
      </c>
      <c r="AA71" s="210" t="s">
        <v>369</v>
      </c>
    </row>
    <row r="72" ht="26.25" customHeight="1">
      <c r="E72" s="263"/>
      <c r="T72" s="207">
        <f>'対戦順'!J45</f>
        <v>1</v>
      </c>
      <c r="U72" s="255"/>
      <c r="V72" s="273" t="s">
        <v>426</v>
      </c>
      <c r="W72" s="200" t="str">
        <f>IFERROR(VLOOKUP(V72,'リスト'!$E$2:$F$109,2,FALSE),"")</f>
        <v>8</v>
      </c>
      <c r="X72" s="199" t="str">
        <f>IFERROR(VLOOKUP(W72&amp;"-"&amp;1,'リスト'!$B:$D,2,FALSE),"")</f>
        <v>津田 智広</v>
      </c>
      <c r="Y72" s="199" t="s">
        <v>368</v>
      </c>
      <c r="Z72" s="201" t="str">
        <f>IFERROR(VLOOKUP(W72&amp;"-"&amp;1,'リスト'!$B:$D,3,FALSE),"")</f>
        <v>ノーレット７</v>
      </c>
      <c r="AA72" s="199" t="s">
        <v>369</v>
      </c>
    </row>
    <row r="73" ht="26.25" customHeight="1">
      <c r="E73" s="263"/>
      <c r="T73" s="207"/>
      <c r="U73" s="207"/>
      <c r="V73" s="207"/>
      <c r="X73" s="210" t="str">
        <f>IFERROR(VLOOKUP(W72&amp;"-"&amp;2,'リスト'!$B:$D,2,FALSE),"")</f>
        <v>米谷 さおり</v>
      </c>
      <c r="Y73" s="210" t="s">
        <v>368</v>
      </c>
      <c r="Z73" s="211" t="str">
        <f>IFERROR(VLOOKUP(W72&amp;"-"&amp;2,'リスト'!$B:$D,3,FALSE),"")</f>
        <v>フリー</v>
      </c>
      <c r="AA73" s="210" t="s">
        <v>369</v>
      </c>
    </row>
    <row r="74" ht="26.25" customHeight="1">
      <c r="E74" s="263"/>
      <c r="T74" s="207"/>
      <c r="U74" s="207"/>
      <c r="V74" s="207"/>
      <c r="W74" s="200"/>
      <c r="X74" s="210"/>
      <c r="Y74" s="210"/>
      <c r="Z74" s="311"/>
      <c r="AA74" s="210"/>
    </row>
  </sheetData>
  <mergeCells count="74">
    <mergeCell ref="B58:B59"/>
    <mergeCell ref="B60:B61"/>
    <mergeCell ref="B62:B63"/>
    <mergeCell ref="B64:B65"/>
    <mergeCell ref="B66:B67"/>
    <mergeCell ref="B68:B69"/>
    <mergeCell ref="B70:B71"/>
    <mergeCell ref="B22:B23"/>
    <mergeCell ref="B24:B25"/>
    <mergeCell ref="B26:B27"/>
    <mergeCell ref="B28:B29"/>
    <mergeCell ref="B30:B31"/>
    <mergeCell ref="B32:B33"/>
    <mergeCell ref="B34:B35"/>
    <mergeCell ref="W68:W69"/>
    <mergeCell ref="W70:W71"/>
    <mergeCell ref="W72:W73"/>
    <mergeCell ref="W58:W59"/>
    <mergeCell ref="W60:W61"/>
    <mergeCell ref="M62:P62"/>
    <mergeCell ref="W62:W63"/>
    <mergeCell ref="M63:P63"/>
    <mergeCell ref="W64:W65"/>
    <mergeCell ref="W66:W67"/>
    <mergeCell ref="B2:L2"/>
    <mergeCell ref="N2:Z2"/>
    <mergeCell ref="B4:B5"/>
    <mergeCell ref="W4:W5"/>
    <mergeCell ref="B6:B7"/>
    <mergeCell ref="M8:P8"/>
    <mergeCell ref="M9:P9"/>
    <mergeCell ref="B8:B9"/>
    <mergeCell ref="B10:B11"/>
    <mergeCell ref="B12:B13"/>
    <mergeCell ref="B14:B15"/>
    <mergeCell ref="B16:B17"/>
    <mergeCell ref="B18:B19"/>
    <mergeCell ref="B20:L21"/>
    <mergeCell ref="W6:W7"/>
    <mergeCell ref="W8:W9"/>
    <mergeCell ref="W10:W11"/>
    <mergeCell ref="W12:W13"/>
    <mergeCell ref="W14:W15"/>
    <mergeCell ref="W16:W17"/>
    <mergeCell ref="N20:Z20"/>
    <mergeCell ref="W22:W23"/>
    <mergeCell ref="W24:W25"/>
    <mergeCell ref="M26:P26"/>
    <mergeCell ref="W26:W27"/>
    <mergeCell ref="M27:P27"/>
    <mergeCell ref="W28:W29"/>
    <mergeCell ref="W30:W31"/>
    <mergeCell ref="B40:B41"/>
    <mergeCell ref="B42:B43"/>
    <mergeCell ref="B44:B45"/>
    <mergeCell ref="B46:B47"/>
    <mergeCell ref="B48:B49"/>
    <mergeCell ref="B50:B51"/>
    <mergeCell ref="B52:B53"/>
    <mergeCell ref="B56:L56"/>
    <mergeCell ref="W32:W33"/>
    <mergeCell ref="W34:W35"/>
    <mergeCell ref="B38:L38"/>
    <mergeCell ref="N38:Z38"/>
    <mergeCell ref="W40:W41"/>
    <mergeCell ref="W42:W43"/>
    <mergeCell ref="W44:W45"/>
    <mergeCell ref="M44:P44"/>
    <mergeCell ref="M45:P45"/>
    <mergeCell ref="W46:W47"/>
    <mergeCell ref="W48:W49"/>
    <mergeCell ref="W50:W51"/>
    <mergeCell ref="W52:W53"/>
    <mergeCell ref="N56:Z56"/>
  </mergeCells>
  <conditionalFormatting sqref="B4:B17 W4:W15">
    <cfRule type="containsBlanks" dxfId="2" priority="1">
      <formula>LEN(TRIM(B4))=0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8" width="3.29"/>
  </cols>
  <sheetData>
    <row r="1" ht="16.5" customHeight="1">
      <c r="A1" s="312" t="s">
        <v>427</v>
      </c>
    </row>
    <row r="2" ht="21.0" customHeight="1"/>
    <row r="3" ht="22.5" customHeight="1">
      <c r="A3" s="313"/>
      <c r="B3" s="313"/>
      <c r="C3" s="313"/>
      <c r="D3" s="313"/>
      <c r="E3" s="313"/>
      <c r="F3" s="313"/>
      <c r="G3" s="313"/>
      <c r="H3" s="314" t="str">
        <f>TRIM('予選'!A1)</f>
        <v>　 　　　　　 サンプル</v>
      </c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313"/>
      <c r="AF3" s="315" t="s">
        <v>428</v>
      </c>
      <c r="AG3" s="124"/>
      <c r="AH3" s="124"/>
      <c r="AI3" s="124"/>
      <c r="AJ3" s="124"/>
      <c r="AK3" s="124"/>
      <c r="AL3" s="124"/>
    </row>
    <row r="4" ht="18.75" customHeight="1">
      <c r="A4" s="316" t="s">
        <v>429</v>
      </c>
      <c r="B4" s="317"/>
      <c r="C4" s="317"/>
      <c r="D4" s="317"/>
      <c r="E4" s="317"/>
      <c r="F4" s="318"/>
      <c r="G4" s="319" t="s">
        <v>430</v>
      </c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8"/>
      <c r="T4" s="320" t="s">
        <v>431</v>
      </c>
      <c r="U4" s="317"/>
      <c r="V4" s="317"/>
      <c r="W4" s="317"/>
      <c r="X4" s="317"/>
      <c r="Y4" s="318"/>
      <c r="Z4" s="319" t="s">
        <v>366</v>
      </c>
      <c r="AA4" s="317"/>
      <c r="AB4" s="317"/>
      <c r="AC4" s="317"/>
      <c r="AD4" s="317"/>
      <c r="AE4" s="317"/>
      <c r="AF4" s="317"/>
      <c r="AG4" s="317"/>
      <c r="AH4" s="317"/>
      <c r="AI4" s="317"/>
      <c r="AJ4" s="317"/>
      <c r="AK4" s="317"/>
      <c r="AL4" s="321"/>
    </row>
    <row r="5" ht="18.75" customHeight="1">
      <c r="A5" s="100"/>
      <c r="F5" s="31"/>
      <c r="G5" s="38"/>
      <c r="S5" s="31"/>
      <c r="T5" s="38"/>
      <c r="Y5" s="31"/>
      <c r="Z5" s="38"/>
      <c r="AL5" s="106"/>
    </row>
    <row r="6" ht="18.75" customHeight="1">
      <c r="A6" s="100"/>
      <c r="F6" s="31"/>
      <c r="G6" s="38"/>
      <c r="S6" s="31"/>
      <c r="T6" s="38"/>
      <c r="Y6" s="31"/>
      <c r="Z6" s="38"/>
      <c r="AL6" s="106"/>
    </row>
    <row r="7" ht="18.75" customHeight="1">
      <c r="A7" s="109"/>
      <c r="B7" s="24"/>
      <c r="C7" s="24"/>
      <c r="D7" s="24"/>
      <c r="E7" s="24"/>
      <c r="F7" s="25"/>
      <c r="G7" s="26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5"/>
      <c r="T7" s="26"/>
      <c r="U7" s="24"/>
      <c r="V7" s="24"/>
      <c r="W7" s="24"/>
      <c r="X7" s="24"/>
      <c r="Y7" s="25"/>
      <c r="Z7" s="26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114"/>
    </row>
    <row r="8" ht="16.5" customHeight="1">
      <c r="A8" s="322" t="s">
        <v>432</v>
      </c>
      <c r="B8" s="16"/>
      <c r="C8" s="16"/>
      <c r="D8" s="16"/>
      <c r="E8" s="16"/>
      <c r="F8" s="17"/>
      <c r="G8" s="323" t="s">
        <v>433</v>
      </c>
      <c r="H8" s="16"/>
      <c r="I8" s="16"/>
      <c r="J8" s="16"/>
      <c r="K8" s="16"/>
      <c r="L8" s="17"/>
      <c r="M8" s="324" t="s">
        <v>434</v>
      </c>
      <c r="N8" s="16"/>
      <c r="O8" s="16"/>
      <c r="P8" s="16"/>
      <c r="Q8" s="17"/>
      <c r="R8" s="325" t="s">
        <v>435</v>
      </c>
      <c r="S8" s="16"/>
      <c r="T8" s="16"/>
      <c r="U8" s="16"/>
      <c r="V8" s="16"/>
      <c r="W8" s="16"/>
      <c r="X8" s="16"/>
      <c r="Y8" s="16"/>
      <c r="Z8" s="17"/>
      <c r="AA8" s="324" t="s">
        <v>436</v>
      </c>
      <c r="AB8" s="16"/>
      <c r="AC8" s="16"/>
      <c r="AD8" s="16"/>
      <c r="AE8" s="17"/>
      <c r="AF8" s="326">
        <v>0.3958333333333333</v>
      </c>
      <c r="AG8" s="16"/>
      <c r="AH8" s="16"/>
      <c r="AI8" s="16"/>
      <c r="AJ8" s="16"/>
      <c r="AK8" s="16"/>
      <c r="AL8" s="327"/>
    </row>
    <row r="9" ht="16.5" customHeight="1">
      <c r="A9" s="100"/>
      <c r="F9" s="31"/>
      <c r="G9" s="38"/>
      <c r="L9" s="31"/>
      <c r="M9" s="38"/>
      <c r="Q9" s="31"/>
      <c r="R9" s="38"/>
      <c r="Z9" s="31"/>
      <c r="AA9" s="38"/>
      <c r="AE9" s="31"/>
      <c r="AF9" s="38"/>
      <c r="AL9" s="106"/>
    </row>
    <row r="10" ht="16.5" customHeight="1">
      <c r="A10" s="100"/>
      <c r="F10" s="31"/>
      <c r="G10" s="38"/>
      <c r="L10" s="31"/>
      <c r="M10" s="38"/>
      <c r="Q10" s="31"/>
      <c r="R10" s="38"/>
      <c r="Z10" s="31"/>
      <c r="AA10" s="38"/>
      <c r="AE10" s="31"/>
      <c r="AF10" s="38"/>
      <c r="AL10" s="106"/>
    </row>
    <row r="11" ht="16.5" customHeight="1">
      <c r="A11" s="122"/>
      <c r="B11" s="124"/>
      <c r="C11" s="124"/>
      <c r="D11" s="124"/>
      <c r="E11" s="124"/>
      <c r="F11" s="126"/>
      <c r="G11" s="127"/>
      <c r="H11" s="124"/>
      <c r="I11" s="124"/>
      <c r="J11" s="124"/>
      <c r="K11" s="124"/>
      <c r="L11" s="126"/>
      <c r="M11" s="127"/>
      <c r="N11" s="124"/>
      <c r="O11" s="124"/>
      <c r="P11" s="124"/>
      <c r="Q11" s="126"/>
      <c r="R11" s="127"/>
      <c r="S11" s="124"/>
      <c r="T11" s="124"/>
      <c r="U11" s="124"/>
      <c r="V11" s="124"/>
      <c r="W11" s="124"/>
      <c r="X11" s="124"/>
      <c r="Y11" s="124"/>
      <c r="Z11" s="126"/>
      <c r="AA11" s="127"/>
      <c r="AB11" s="124"/>
      <c r="AC11" s="124"/>
      <c r="AD11" s="124"/>
      <c r="AE11" s="126"/>
      <c r="AF11" s="127"/>
      <c r="AG11" s="124"/>
      <c r="AH11" s="124"/>
      <c r="AI11" s="124"/>
      <c r="AJ11" s="124"/>
      <c r="AK11" s="124"/>
      <c r="AL11" s="129"/>
    </row>
    <row r="12" ht="7.5" customHeight="1">
      <c r="A12" s="328"/>
      <c r="B12" s="328"/>
      <c r="C12" s="328"/>
      <c r="D12" s="328"/>
      <c r="E12" s="328"/>
      <c r="F12" s="328"/>
      <c r="G12" s="329"/>
      <c r="H12" s="329"/>
      <c r="I12" s="329"/>
      <c r="J12" s="329"/>
      <c r="K12" s="329"/>
      <c r="L12" s="329"/>
      <c r="M12" s="329"/>
      <c r="N12" s="329"/>
      <c r="O12" s="329"/>
      <c r="P12" s="329"/>
      <c r="Q12" s="329" t="s">
        <v>437</v>
      </c>
      <c r="R12" s="329"/>
      <c r="S12" s="329"/>
      <c r="T12" s="329"/>
      <c r="U12" s="313"/>
      <c r="V12" s="313"/>
      <c r="W12" s="313"/>
      <c r="X12" s="313"/>
      <c r="Y12" s="313"/>
      <c r="Z12" s="313"/>
      <c r="AA12" s="313"/>
      <c r="AB12" s="313"/>
      <c r="AC12" s="313"/>
      <c r="AD12" s="313"/>
      <c r="AE12" s="313"/>
      <c r="AF12" s="313"/>
      <c r="AG12" s="313"/>
      <c r="AH12" s="313"/>
      <c r="AI12" s="313"/>
      <c r="AJ12" s="313"/>
      <c r="AK12" s="313"/>
      <c r="AL12" s="313"/>
    </row>
    <row r="13" ht="18.75" customHeight="1">
      <c r="A13" s="330" t="s">
        <v>438</v>
      </c>
      <c r="B13" s="317"/>
      <c r="C13" s="317"/>
      <c r="D13" s="317"/>
      <c r="E13" s="317"/>
      <c r="F13" s="318"/>
      <c r="G13" s="331" t="s">
        <v>439</v>
      </c>
      <c r="H13" s="317"/>
      <c r="I13" s="317"/>
      <c r="J13" s="317"/>
      <c r="K13" s="332">
        <v>5.0</v>
      </c>
      <c r="L13" s="317"/>
      <c r="M13" s="317"/>
      <c r="N13" s="317"/>
      <c r="O13" s="317"/>
      <c r="P13" s="317"/>
      <c r="Q13" s="317"/>
      <c r="R13" s="317"/>
      <c r="S13" s="317"/>
      <c r="T13" s="317"/>
      <c r="U13" s="317"/>
      <c r="V13" s="318"/>
      <c r="W13" s="331" t="s">
        <v>439</v>
      </c>
      <c r="X13" s="317"/>
      <c r="Y13" s="317"/>
      <c r="Z13" s="317"/>
      <c r="AA13" s="332">
        <v>3.0</v>
      </c>
      <c r="AB13" s="317"/>
      <c r="AC13" s="317"/>
      <c r="AD13" s="317"/>
      <c r="AE13" s="317"/>
      <c r="AF13" s="317"/>
      <c r="AG13" s="317"/>
      <c r="AH13" s="317"/>
      <c r="AI13" s="317"/>
      <c r="AJ13" s="317"/>
      <c r="AK13" s="317"/>
      <c r="AL13" s="321"/>
    </row>
    <row r="14" ht="18.75" customHeight="1">
      <c r="A14" s="109"/>
      <c r="B14" s="24"/>
      <c r="C14" s="24"/>
      <c r="D14" s="24"/>
      <c r="E14" s="24"/>
      <c r="F14" s="25"/>
      <c r="G14" s="26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5"/>
      <c r="W14" s="26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114"/>
    </row>
    <row r="15" ht="16.5" customHeight="1">
      <c r="A15" s="333" t="s">
        <v>440</v>
      </c>
      <c r="B15" s="16"/>
      <c r="C15" s="16"/>
      <c r="D15" s="16"/>
      <c r="E15" s="16"/>
      <c r="F15" s="17"/>
      <c r="G15" s="334" t="str">
        <f>IFERROR(VLOOKUP(K13&amp;"-"&amp;1,'リスト'!$B:$D,2,FALSE),"")</f>
        <v>常村 和仁</v>
      </c>
      <c r="H15" s="16"/>
      <c r="I15" s="16"/>
      <c r="J15" s="16"/>
      <c r="K15" s="16"/>
      <c r="L15" s="16"/>
      <c r="M15" s="16"/>
      <c r="N15" s="16"/>
      <c r="O15" s="16"/>
      <c r="P15" s="335" t="s">
        <v>368</v>
      </c>
      <c r="Q15" s="336" t="str">
        <f>IFERROR(VLOOKUP(K13&amp;"-"&amp;1,'リスト'!$B:$D,3,FALSE),"")</f>
        <v>完熟オレンジ</v>
      </c>
      <c r="R15" s="16"/>
      <c r="S15" s="16"/>
      <c r="T15" s="16"/>
      <c r="U15" s="16"/>
      <c r="V15" s="337" t="s">
        <v>369</v>
      </c>
      <c r="W15" s="334" t="str">
        <f>IFERROR(VLOOKUP(AA13&amp;"-"&amp;1,'リスト'!$B:$D,2,FALSE),"")</f>
        <v>西山 禎侑</v>
      </c>
      <c r="X15" s="16"/>
      <c r="Y15" s="16"/>
      <c r="Z15" s="16"/>
      <c r="AA15" s="16"/>
      <c r="AB15" s="16"/>
      <c r="AC15" s="16"/>
      <c r="AD15" s="16"/>
      <c r="AE15" s="16"/>
      <c r="AF15" s="335" t="s">
        <v>368</v>
      </c>
      <c r="AG15" s="336" t="str">
        <f>IFERROR(VLOOKUP(AA13&amp;"-"&amp;1,'リスト'!$B:$D,3,FALSE),"")</f>
        <v>ｄｏＭｅ</v>
      </c>
      <c r="AH15" s="16"/>
      <c r="AI15" s="16"/>
      <c r="AJ15" s="16"/>
      <c r="AK15" s="16"/>
      <c r="AL15" s="338" t="s">
        <v>369</v>
      </c>
    </row>
    <row r="16" ht="16.5" customHeight="1">
      <c r="A16" s="100"/>
      <c r="F16" s="31"/>
      <c r="G16" s="38"/>
      <c r="V16" s="31"/>
      <c r="W16" s="38"/>
      <c r="AL16" s="106"/>
    </row>
    <row r="17" ht="16.5" customHeight="1">
      <c r="A17" s="100"/>
      <c r="F17" s="31"/>
      <c r="G17" s="38"/>
      <c r="V17" s="31"/>
      <c r="W17" s="38"/>
      <c r="AL17" s="106"/>
    </row>
    <row r="18" ht="16.5" customHeight="1">
      <c r="A18" s="100"/>
      <c r="F18" s="31"/>
      <c r="G18" s="339" t="str">
        <f>IFERROR(VLOOKUP(K13&amp;"-"&amp;2,'リスト'!$B:$D,2,FALSE),"")</f>
        <v>前田 良枝</v>
      </c>
      <c r="P18" s="340" t="s">
        <v>368</v>
      </c>
      <c r="Q18" s="341" t="str">
        <f>IFERROR(VLOOKUP(K13&amp;"-"&amp;2,'リスト'!$B:$D,3,FALSE),"")</f>
        <v>Ｚｏｎｅ</v>
      </c>
      <c r="V18" s="342" t="s">
        <v>369</v>
      </c>
      <c r="W18" s="339" t="str">
        <f>IFERROR(VLOOKUP(AA13&amp;"-"&amp;2,'リスト'!$B:$D,2,FALSE),"")</f>
        <v>小林 さえ子</v>
      </c>
      <c r="AF18" s="340" t="s">
        <v>368</v>
      </c>
      <c r="AG18" s="341" t="str">
        <f>IFERROR(VLOOKUP(AA13&amp;"-"&amp;2,'リスト'!$B:$D,3,FALSE),"")</f>
        <v>カプリス</v>
      </c>
      <c r="AL18" s="343" t="s">
        <v>369</v>
      </c>
    </row>
    <row r="19" ht="16.5" customHeight="1">
      <c r="A19" s="100"/>
      <c r="F19" s="31"/>
      <c r="G19" s="38"/>
      <c r="V19" s="31"/>
      <c r="W19" s="38"/>
      <c r="AL19" s="106"/>
    </row>
    <row r="20" ht="16.5" customHeight="1">
      <c r="A20" s="109"/>
      <c r="B20" s="24"/>
      <c r="C20" s="24"/>
      <c r="D20" s="24"/>
      <c r="E20" s="24"/>
      <c r="F20" s="25"/>
      <c r="G20" s="26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5"/>
      <c r="W20" s="26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114"/>
    </row>
    <row r="21" ht="15.75" customHeight="1">
      <c r="A21" s="344" t="s">
        <v>441</v>
      </c>
      <c r="B21" s="16"/>
      <c r="C21" s="16"/>
      <c r="D21" s="16"/>
      <c r="E21" s="16"/>
      <c r="F21" s="17"/>
      <c r="G21" s="345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346" t="s">
        <v>442</v>
      </c>
      <c r="W21" s="16"/>
      <c r="X21" s="347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327"/>
    </row>
    <row r="22" ht="15.75" customHeight="1">
      <c r="A22" s="100"/>
      <c r="F22" s="31"/>
      <c r="G22" s="38"/>
      <c r="AL22" s="106"/>
    </row>
    <row r="23" ht="15.75" customHeight="1">
      <c r="A23" s="100"/>
      <c r="F23" s="31"/>
      <c r="G23" s="38"/>
      <c r="AL23" s="106"/>
    </row>
    <row r="24" ht="15.75" customHeight="1">
      <c r="A24" s="100"/>
      <c r="F24" s="31"/>
      <c r="G24" s="38"/>
      <c r="AL24" s="106"/>
    </row>
    <row r="25" ht="15.75" customHeight="1">
      <c r="A25" s="100"/>
      <c r="F25" s="31"/>
      <c r="G25" s="38"/>
      <c r="AL25" s="106"/>
    </row>
    <row r="26" ht="17.25" customHeight="1">
      <c r="A26" s="348" t="s">
        <v>443</v>
      </c>
      <c r="F26" s="31"/>
      <c r="G26" s="349"/>
      <c r="H26" s="313"/>
      <c r="I26" s="313"/>
      <c r="J26" s="313"/>
      <c r="K26" s="313"/>
      <c r="L26" s="313"/>
      <c r="M26" s="313"/>
      <c r="N26" s="313"/>
      <c r="O26" s="313"/>
      <c r="P26" s="313"/>
      <c r="Q26" s="313"/>
      <c r="R26" s="313"/>
      <c r="S26" s="313"/>
      <c r="T26" s="313" t="s">
        <v>444</v>
      </c>
      <c r="V26" s="350"/>
      <c r="W26" s="350"/>
      <c r="X26" s="313" t="s">
        <v>445</v>
      </c>
      <c r="Z26" s="313"/>
      <c r="AA26" s="313"/>
      <c r="AB26" s="313"/>
      <c r="AC26" s="313"/>
      <c r="AD26" s="313"/>
      <c r="AE26" s="313"/>
      <c r="AF26" s="313"/>
      <c r="AG26" s="313"/>
      <c r="AH26" s="313"/>
      <c r="AI26" s="313"/>
      <c r="AJ26" s="313"/>
      <c r="AK26" s="313"/>
      <c r="AL26" s="351"/>
    </row>
    <row r="27" ht="17.25" customHeight="1">
      <c r="A27" s="100"/>
      <c r="F27" s="31"/>
      <c r="G27" s="349"/>
      <c r="H27" s="313"/>
      <c r="I27" s="313"/>
      <c r="J27" s="313"/>
      <c r="K27" s="313"/>
      <c r="L27" s="313"/>
      <c r="M27" s="313"/>
      <c r="N27" s="313"/>
      <c r="O27" s="313"/>
      <c r="P27" s="313"/>
      <c r="Q27" s="313"/>
      <c r="R27" s="313"/>
      <c r="S27" s="313"/>
      <c r="V27" s="350"/>
      <c r="W27" s="350"/>
      <c r="Z27" s="313"/>
      <c r="AA27" s="313"/>
      <c r="AB27" s="313"/>
      <c r="AC27" s="313"/>
      <c r="AD27" s="313"/>
      <c r="AE27" s="313"/>
      <c r="AF27" s="313"/>
      <c r="AG27" s="313"/>
      <c r="AH27" s="313"/>
      <c r="AI27" s="313"/>
      <c r="AJ27" s="313"/>
      <c r="AK27" s="313"/>
      <c r="AL27" s="351"/>
    </row>
    <row r="28" ht="17.25" customHeight="1">
      <c r="A28" s="122"/>
      <c r="B28" s="124"/>
      <c r="C28" s="124"/>
      <c r="D28" s="124"/>
      <c r="E28" s="124"/>
      <c r="F28" s="126"/>
      <c r="G28" s="352"/>
      <c r="H28" s="353"/>
      <c r="I28" s="353"/>
      <c r="J28" s="353"/>
      <c r="K28" s="353"/>
      <c r="L28" s="353"/>
      <c r="M28" s="353"/>
      <c r="N28" s="353"/>
      <c r="O28" s="353"/>
      <c r="P28" s="353"/>
      <c r="Q28" s="353"/>
      <c r="R28" s="353"/>
      <c r="S28" s="353"/>
      <c r="T28" s="124"/>
      <c r="U28" s="124"/>
      <c r="V28" s="354"/>
      <c r="W28" s="124"/>
      <c r="X28" s="124"/>
      <c r="Y28" s="124"/>
      <c r="Z28" s="353"/>
      <c r="AA28" s="353"/>
      <c r="AB28" s="353"/>
      <c r="AC28" s="353"/>
      <c r="AD28" s="353"/>
      <c r="AE28" s="353"/>
      <c r="AF28" s="353"/>
      <c r="AG28" s="353"/>
      <c r="AH28" s="353"/>
      <c r="AI28" s="353"/>
      <c r="AJ28" s="353"/>
      <c r="AK28" s="353"/>
      <c r="AL28" s="355"/>
    </row>
    <row r="29" ht="25.5" customHeight="1">
      <c r="A29" s="356"/>
      <c r="B29" s="356"/>
      <c r="C29" s="356"/>
      <c r="D29" s="356"/>
      <c r="E29" s="356"/>
      <c r="F29" s="356"/>
      <c r="G29" s="356"/>
      <c r="H29" s="356"/>
      <c r="I29" s="356"/>
      <c r="J29" s="356"/>
      <c r="K29" s="356"/>
      <c r="L29" s="356"/>
      <c r="M29" s="356"/>
      <c r="N29" s="356"/>
      <c r="O29" s="356"/>
      <c r="P29" s="356"/>
      <c r="Q29" s="356"/>
      <c r="R29" s="356"/>
      <c r="S29" s="356"/>
      <c r="T29" s="356"/>
      <c r="U29" s="356"/>
      <c r="V29" s="356"/>
      <c r="W29" s="356"/>
      <c r="X29" s="356"/>
      <c r="Y29" s="356"/>
      <c r="Z29" s="357">
        <v>9.0</v>
      </c>
      <c r="AA29" s="317"/>
      <c r="AB29" s="317"/>
      <c r="AC29" s="317"/>
      <c r="AD29" s="317"/>
      <c r="AE29" s="317"/>
      <c r="AF29" s="317"/>
      <c r="AG29" s="317"/>
      <c r="AH29" s="317"/>
      <c r="AI29" s="317"/>
      <c r="AJ29" s="317"/>
      <c r="AK29" s="317"/>
      <c r="AL29" s="317"/>
    </row>
  </sheetData>
  <mergeCells count="44">
    <mergeCell ref="A1:AL2"/>
    <mergeCell ref="H3:AD3"/>
    <mergeCell ref="AF3:AL3"/>
    <mergeCell ref="A4:F7"/>
    <mergeCell ref="G4:S7"/>
    <mergeCell ref="T4:Y7"/>
    <mergeCell ref="Z4:AL7"/>
    <mergeCell ref="W13:Z14"/>
    <mergeCell ref="AA13:AL14"/>
    <mergeCell ref="W15:AE17"/>
    <mergeCell ref="AF15:AF17"/>
    <mergeCell ref="AG15:AK17"/>
    <mergeCell ref="AL15:AL17"/>
    <mergeCell ref="A8:F11"/>
    <mergeCell ref="G8:L11"/>
    <mergeCell ref="M8:Q11"/>
    <mergeCell ref="R8:Z11"/>
    <mergeCell ref="AA8:AE11"/>
    <mergeCell ref="AF8:AL11"/>
    <mergeCell ref="A13:F14"/>
    <mergeCell ref="Q18:U20"/>
    <mergeCell ref="V18:V20"/>
    <mergeCell ref="W18:AE20"/>
    <mergeCell ref="AF18:AF20"/>
    <mergeCell ref="AG18:AK20"/>
    <mergeCell ref="AL18:AL20"/>
    <mergeCell ref="X21:AL25"/>
    <mergeCell ref="G13:J14"/>
    <mergeCell ref="K13:V14"/>
    <mergeCell ref="A15:F20"/>
    <mergeCell ref="G15:O17"/>
    <mergeCell ref="P15:P17"/>
    <mergeCell ref="Q15:U17"/>
    <mergeCell ref="V15:V17"/>
    <mergeCell ref="X26:Y28"/>
    <mergeCell ref="V28:W28"/>
    <mergeCell ref="Z29:AL29"/>
    <mergeCell ref="G18:O20"/>
    <mergeCell ref="P18:P20"/>
    <mergeCell ref="A21:F25"/>
    <mergeCell ref="G21:U25"/>
    <mergeCell ref="V21:W25"/>
    <mergeCell ref="A26:F28"/>
    <mergeCell ref="T26:U28"/>
  </mergeCells>
  <dataValidations>
    <dataValidation type="list" allowBlank="1" showDropDown="1" showErrorMessage="1" sqref="G4">
      <formula1>"1位トーナメント,2位トーナメント,3位トーナメント,4・5位トーナメント"</formula1>
    </dataValidation>
    <dataValidation type="list" allowBlank="1" showDropDown="1" showErrorMessage="1" sqref="Z4">
      <formula1>"１回戦,2回線,3回線,準々決勝,準決勝,決勝"</formula1>
    </dataValidation>
    <dataValidation type="list" allowBlank="1" showDropDown="1" showErrorMessage="1" sqref="G8">
      <formula1>"1,2,3,4,5,6,7,8,9,10,11,12,13,14,15,16"</formula1>
    </dataValidation>
  </dataValidations>
  <printOptions horizontalCentered="1" verticalCentered="1"/>
  <pageMargins bottom="0.19685039370078738" footer="0.0" header="0.0" left="0.19685039370078738" right="0.1968503937007874" top="0.19685039370078738"/>
  <pageSetup paperSize="13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8" width="3.29"/>
  </cols>
  <sheetData>
    <row r="1" ht="16.5" customHeight="1">
      <c r="A1" s="312" t="s">
        <v>427</v>
      </c>
    </row>
    <row r="2" ht="21.0" customHeight="1"/>
    <row r="3" ht="22.5" customHeight="1">
      <c r="A3" s="313"/>
      <c r="B3" s="313"/>
      <c r="C3" s="313"/>
      <c r="D3" s="313"/>
      <c r="E3" s="313"/>
      <c r="F3" s="313"/>
      <c r="G3" s="313"/>
      <c r="H3" s="314" t="str">
        <f>TRIM('予選'!A1)</f>
        <v>　 　　　　　 サンプル</v>
      </c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313"/>
      <c r="AF3" s="315" t="s">
        <v>428</v>
      </c>
      <c r="AG3" s="124"/>
      <c r="AH3" s="124"/>
      <c r="AI3" s="124"/>
      <c r="AJ3" s="124"/>
      <c r="AK3" s="124"/>
      <c r="AL3" s="124"/>
    </row>
    <row r="4" ht="18.75" customHeight="1">
      <c r="A4" s="316" t="s">
        <v>429</v>
      </c>
      <c r="B4" s="317"/>
      <c r="C4" s="317"/>
      <c r="D4" s="317"/>
      <c r="E4" s="317"/>
      <c r="F4" s="318"/>
      <c r="G4" s="358" t="s">
        <v>411</v>
      </c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8"/>
      <c r="T4" s="320" t="s">
        <v>431</v>
      </c>
      <c r="U4" s="317"/>
      <c r="V4" s="317"/>
      <c r="W4" s="317"/>
      <c r="X4" s="317"/>
      <c r="Y4" s="318"/>
      <c r="Z4" s="319" t="s">
        <v>363</v>
      </c>
      <c r="AA4" s="317"/>
      <c r="AB4" s="317"/>
      <c r="AC4" s="317"/>
      <c r="AD4" s="317"/>
      <c r="AE4" s="317"/>
      <c r="AF4" s="317"/>
      <c r="AG4" s="317"/>
      <c r="AH4" s="317"/>
      <c r="AI4" s="317"/>
      <c r="AJ4" s="317"/>
      <c r="AK4" s="317"/>
      <c r="AL4" s="321"/>
    </row>
    <row r="5" ht="18.75" customHeight="1">
      <c r="A5" s="100"/>
      <c r="F5" s="31"/>
      <c r="G5" s="38"/>
      <c r="S5" s="31"/>
      <c r="T5" s="38"/>
      <c r="Y5" s="31"/>
      <c r="Z5" s="38"/>
      <c r="AL5" s="106"/>
    </row>
    <row r="6" ht="18.75" customHeight="1">
      <c r="A6" s="100"/>
      <c r="F6" s="31"/>
      <c r="G6" s="38"/>
      <c r="S6" s="31"/>
      <c r="T6" s="38"/>
      <c r="Y6" s="31"/>
      <c r="Z6" s="38"/>
      <c r="AL6" s="106"/>
    </row>
    <row r="7" ht="18.75" customHeight="1">
      <c r="A7" s="109"/>
      <c r="B7" s="24"/>
      <c r="C7" s="24"/>
      <c r="D7" s="24"/>
      <c r="E7" s="24"/>
      <c r="F7" s="25"/>
      <c r="G7" s="26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5"/>
      <c r="T7" s="26"/>
      <c r="U7" s="24"/>
      <c r="V7" s="24"/>
      <c r="W7" s="24"/>
      <c r="X7" s="24"/>
      <c r="Y7" s="25"/>
      <c r="Z7" s="26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114"/>
    </row>
    <row r="8" ht="16.5" customHeight="1">
      <c r="A8" s="322" t="s">
        <v>432</v>
      </c>
      <c r="B8" s="16"/>
      <c r="C8" s="16"/>
      <c r="D8" s="16"/>
      <c r="E8" s="16"/>
      <c r="F8" s="17"/>
      <c r="G8" s="323"/>
      <c r="H8" s="16"/>
      <c r="I8" s="16"/>
      <c r="J8" s="16"/>
      <c r="K8" s="16"/>
      <c r="L8" s="17"/>
      <c r="M8" s="324" t="s">
        <v>434</v>
      </c>
      <c r="N8" s="16"/>
      <c r="O8" s="16"/>
      <c r="P8" s="16"/>
      <c r="Q8" s="17"/>
      <c r="R8" s="325" t="s">
        <v>446</v>
      </c>
      <c r="S8" s="16"/>
      <c r="T8" s="16"/>
      <c r="U8" s="16"/>
      <c r="V8" s="16"/>
      <c r="W8" s="16"/>
      <c r="X8" s="16"/>
      <c r="Y8" s="16"/>
      <c r="Z8" s="17"/>
      <c r="AA8" s="324" t="s">
        <v>436</v>
      </c>
      <c r="AB8" s="16"/>
      <c r="AC8" s="16"/>
      <c r="AD8" s="16"/>
      <c r="AE8" s="17"/>
      <c r="AF8" s="326"/>
      <c r="AG8" s="16"/>
      <c r="AH8" s="16"/>
      <c r="AI8" s="16"/>
      <c r="AJ8" s="16"/>
      <c r="AK8" s="16"/>
      <c r="AL8" s="327"/>
    </row>
    <row r="9" ht="16.5" customHeight="1">
      <c r="A9" s="100"/>
      <c r="F9" s="31"/>
      <c r="G9" s="38"/>
      <c r="L9" s="31"/>
      <c r="M9" s="38"/>
      <c r="Q9" s="31"/>
      <c r="R9" s="38"/>
      <c r="Z9" s="31"/>
      <c r="AA9" s="38"/>
      <c r="AE9" s="31"/>
      <c r="AF9" s="38"/>
      <c r="AL9" s="106"/>
    </row>
    <row r="10" ht="16.5" customHeight="1">
      <c r="A10" s="100"/>
      <c r="F10" s="31"/>
      <c r="G10" s="38"/>
      <c r="L10" s="31"/>
      <c r="M10" s="38"/>
      <c r="Q10" s="31"/>
      <c r="R10" s="38"/>
      <c r="Z10" s="31"/>
      <c r="AA10" s="38"/>
      <c r="AE10" s="31"/>
      <c r="AF10" s="38"/>
      <c r="AL10" s="106"/>
    </row>
    <row r="11" ht="16.5" customHeight="1">
      <c r="A11" s="122"/>
      <c r="B11" s="124"/>
      <c r="C11" s="124"/>
      <c r="D11" s="124"/>
      <c r="E11" s="124"/>
      <c r="F11" s="126"/>
      <c r="G11" s="127"/>
      <c r="H11" s="124"/>
      <c r="I11" s="124"/>
      <c r="J11" s="124"/>
      <c r="K11" s="124"/>
      <c r="L11" s="126"/>
      <c r="M11" s="127"/>
      <c r="N11" s="124"/>
      <c r="O11" s="124"/>
      <c r="P11" s="124"/>
      <c r="Q11" s="126"/>
      <c r="R11" s="127"/>
      <c r="S11" s="124"/>
      <c r="T11" s="124"/>
      <c r="U11" s="124"/>
      <c r="V11" s="124"/>
      <c r="W11" s="124"/>
      <c r="X11" s="124"/>
      <c r="Y11" s="124"/>
      <c r="Z11" s="126"/>
      <c r="AA11" s="127"/>
      <c r="AB11" s="124"/>
      <c r="AC11" s="124"/>
      <c r="AD11" s="124"/>
      <c r="AE11" s="126"/>
      <c r="AF11" s="127"/>
      <c r="AG11" s="124"/>
      <c r="AH11" s="124"/>
      <c r="AI11" s="124"/>
      <c r="AJ11" s="124"/>
      <c r="AK11" s="124"/>
      <c r="AL11" s="129"/>
    </row>
    <row r="12" ht="7.5" customHeight="1">
      <c r="A12" s="328"/>
      <c r="B12" s="328"/>
      <c r="C12" s="328"/>
      <c r="D12" s="328"/>
      <c r="E12" s="328"/>
      <c r="F12" s="328"/>
      <c r="G12" s="329"/>
      <c r="H12" s="329"/>
      <c r="I12" s="329"/>
      <c r="J12" s="329"/>
      <c r="K12" s="329"/>
      <c r="L12" s="329"/>
      <c r="M12" s="329"/>
      <c r="N12" s="329"/>
      <c r="O12" s="329"/>
      <c r="P12" s="329"/>
      <c r="Q12" s="329" t="s">
        <v>437</v>
      </c>
      <c r="R12" s="329"/>
      <c r="S12" s="329"/>
      <c r="T12" s="329"/>
      <c r="U12" s="313"/>
      <c r="V12" s="313"/>
      <c r="W12" s="313"/>
      <c r="X12" s="313"/>
      <c r="Y12" s="313"/>
      <c r="Z12" s="313"/>
      <c r="AA12" s="313"/>
      <c r="AB12" s="313"/>
      <c r="AC12" s="313"/>
      <c r="AD12" s="313"/>
      <c r="AE12" s="313"/>
      <c r="AF12" s="313"/>
      <c r="AG12" s="313"/>
      <c r="AH12" s="313"/>
      <c r="AI12" s="313"/>
      <c r="AJ12" s="313"/>
      <c r="AK12" s="313"/>
      <c r="AL12" s="313"/>
    </row>
    <row r="13" ht="18.75" customHeight="1">
      <c r="A13" s="330" t="s">
        <v>438</v>
      </c>
      <c r="B13" s="317"/>
      <c r="C13" s="317"/>
      <c r="D13" s="317"/>
      <c r="E13" s="317"/>
      <c r="F13" s="318"/>
      <c r="G13" s="331" t="s">
        <v>439</v>
      </c>
      <c r="H13" s="317"/>
      <c r="I13" s="317"/>
      <c r="J13" s="317"/>
      <c r="K13" s="332">
        <v>20.0</v>
      </c>
      <c r="L13" s="317"/>
      <c r="M13" s="317"/>
      <c r="N13" s="317"/>
      <c r="O13" s="317"/>
      <c r="P13" s="317"/>
      <c r="Q13" s="317"/>
      <c r="R13" s="317"/>
      <c r="S13" s="317"/>
      <c r="T13" s="317"/>
      <c r="U13" s="317"/>
      <c r="V13" s="318"/>
      <c r="W13" s="331" t="s">
        <v>439</v>
      </c>
      <c r="X13" s="317"/>
      <c r="Y13" s="317"/>
      <c r="Z13" s="317"/>
      <c r="AA13" s="332">
        <v>49.0</v>
      </c>
      <c r="AB13" s="317"/>
      <c r="AC13" s="317"/>
      <c r="AD13" s="317"/>
      <c r="AE13" s="317"/>
      <c r="AF13" s="317"/>
      <c r="AG13" s="317"/>
      <c r="AH13" s="317"/>
      <c r="AI13" s="317"/>
      <c r="AJ13" s="317"/>
      <c r="AK13" s="317"/>
      <c r="AL13" s="321"/>
    </row>
    <row r="14" ht="18.75" customHeight="1">
      <c r="A14" s="109"/>
      <c r="B14" s="24"/>
      <c r="C14" s="24"/>
      <c r="D14" s="24"/>
      <c r="E14" s="24"/>
      <c r="F14" s="25"/>
      <c r="G14" s="26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5"/>
      <c r="W14" s="26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114"/>
    </row>
    <row r="15" ht="16.5" customHeight="1">
      <c r="A15" s="333" t="s">
        <v>440</v>
      </c>
      <c r="B15" s="16"/>
      <c r="C15" s="16"/>
      <c r="D15" s="16"/>
      <c r="E15" s="16"/>
      <c r="F15" s="17"/>
      <c r="G15" s="334" t="str">
        <f>IFERROR(VLOOKUP(K13&amp;"-"&amp;1,'リスト'!$B:$D,2,FALSE),"")</f>
        <v>町田 正雄</v>
      </c>
      <c r="H15" s="16"/>
      <c r="I15" s="16"/>
      <c r="J15" s="16"/>
      <c r="K15" s="16"/>
      <c r="L15" s="16"/>
      <c r="M15" s="16"/>
      <c r="N15" s="16"/>
      <c r="O15" s="16"/>
      <c r="P15" s="335" t="s">
        <v>368</v>
      </c>
      <c r="Q15" s="336" t="str">
        <f>IFERROR(VLOOKUP(K13&amp;"-"&amp;1,'リスト'!$B:$D,3,FALSE),"")</f>
        <v>因幡打輪</v>
      </c>
      <c r="R15" s="16"/>
      <c r="S15" s="16"/>
      <c r="T15" s="16"/>
      <c r="U15" s="16"/>
      <c r="V15" s="337" t="s">
        <v>369</v>
      </c>
      <c r="W15" s="334" t="str">
        <f>IFERROR(VLOOKUP(AA13&amp;"-"&amp;1,'リスト'!$B:$D,2,FALSE),"")</f>
        <v>清水 貴志</v>
      </c>
      <c r="X15" s="16"/>
      <c r="Y15" s="16"/>
      <c r="Z15" s="16"/>
      <c r="AA15" s="16"/>
      <c r="AB15" s="16"/>
      <c r="AC15" s="16"/>
      <c r="AD15" s="16"/>
      <c r="AE15" s="16"/>
      <c r="AF15" s="335" t="s">
        <v>368</v>
      </c>
      <c r="AG15" s="336" t="str">
        <f>IFERROR(VLOOKUP(AA13&amp;"-"&amp;1,'リスト'!$B:$D,3,FALSE),"")</f>
        <v>フリー</v>
      </c>
      <c r="AH15" s="16"/>
      <c r="AI15" s="16"/>
      <c r="AJ15" s="16"/>
      <c r="AK15" s="16"/>
      <c r="AL15" s="338" t="s">
        <v>369</v>
      </c>
    </row>
    <row r="16" ht="16.5" customHeight="1">
      <c r="A16" s="100"/>
      <c r="F16" s="31"/>
      <c r="G16" s="38"/>
      <c r="V16" s="31"/>
      <c r="W16" s="38"/>
      <c r="AL16" s="106"/>
    </row>
    <row r="17" ht="16.5" customHeight="1">
      <c r="A17" s="100"/>
      <c r="F17" s="31"/>
      <c r="G17" s="38"/>
      <c r="V17" s="31"/>
      <c r="W17" s="38"/>
      <c r="AL17" s="106"/>
    </row>
    <row r="18" ht="16.5" customHeight="1">
      <c r="A18" s="100"/>
      <c r="F18" s="31"/>
      <c r="G18" s="339" t="str">
        <f>IFERROR(VLOOKUP(K13&amp;"-"&amp;2,'リスト'!$B:$D,2,FALSE),"")</f>
        <v>町田 聖子</v>
      </c>
      <c r="P18" s="340" t="s">
        <v>368</v>
      </c>
      <c r="Q18" s="341" t="str">
        <f>IFERROR(VLOOKUP(K13&amp;"-"&amp;2,'リスト'!$B:$D,3,FALSE),"")</f>
        <v>因幡打輪</v>
      </c>
      <c r="V18" s="342" t="s">
        <v>369</v>
      </c>
      <c r="W18" s="339" t="str">
        <f>IFERROR(VLOOKUP(AA13&amp;"-"&amp;2,'リスト'!$B:$D,2,FALSE),"")</f>
        <v>大田 陽子</v>
      </c>
      <c r="AF18" s="340" t="s">
        <v>368</v>
      </c>
      <c r="AG18" s="341" t="str">
        <f>IFERROR(VLOOKUP(AA13&amp;"-"&amp;2,'リスト'!$B:$D,3,FALSE),"")</f>
        <v>たんぽぽ</v>
      </c>
      <c r="AL18" s="343" t="s">
        <v>369</v>
      </c>
    </row>
    <row r="19" ht="16.5" customHeight="1">
      <c r="A19" s="100"/>
      <c r="F19" s="31"/>
      <c r="G19" s="38"/>
      <c r="V19" s="31"/>
      <c r="W19" s="38"/>
      <c r="AL19" s="106"/>
    </row>
    <row r="20" ht="16.5" customHeight="1">
      <c r="A20" s="109"/>
      <c r="B20" s="24"/>
      <c r="C20" s="24"/>
      <c r="D20" s="24"/>
      <c r="E20" s="24"/>
      <c r="F20" s="25"/>
      <c r="G20" s="26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5"/>
      <c r="W20" s="26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114"/>
    </row>
    <row r="21" ht="15.75" customHeight="1">
      <c r="A21" s="344" t="s">
        <v>441</v>
      </c>
      <c r="B21" s="16"/>
      <c r="C21" s="16"/>
      <c r="D21" s="16"/>
      <c r="E21" s="16"/>
      <c r="F21" s="17"/>
      <c r="G21" s="345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346" t="s">
        <v>442</v>
      </c>
      <c r="W21" s="16"/>
      <c r="X21" s="347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327"/>
    </row>
    <row r="22" ht="15.75" customHeight="1">
      <c r="A22" s="100"/>
      <c r="F22" s="31"/>
      <c r="G22" s="38"/>
      <c r="AL22" s="106"/>
    </row>
    <row r="23" ht="15.75" customHeight="1">
      <c r="A23" s="100"/>
      <c r="F23" s="31"/>
      <c r="G23" s="38"/>
      <c r="AL23" s="106"/>
    </row>
    <row r="24" ht="15.75" customHeight="1">
      <c r="A24" s="100"/>
      <c r="F24" s="31"/>
      <c r="G24" s="38"/>
      <c r="AL24" s="106"/>
    </row>
    <row r="25" ht="15.75" customHeight="1">
      <c r="A25" s="100"/>
      <c r="F25" s="31"/>
      <c r="G25" s="38"/>
      <c r="AL25" s="106"/>
    </row>
    <row r="26" ht="17.25" customHeight="1">
      <c r="A26" s="348" t="s">
        <v>443</v>
      </c>
      <c r="F26" s="31"/>
      <c r="G26" s="349"/>
      <c r="H26" s="313"/>
      <c r="I26" s="313"/>
      <c r="J26" s="313"/>
      <c r="K26" s="313"/>
      <c r="L26" s="313"/>
      <c r="M26" s="313"/>
      <c r="N26" s="313"/>
      <c r="O26" s="313"/>
      <c r="P26" s="313"/>
      <c r="Q26" s="313"/>
      <c r="R26" s="313"/>
      <c r="S26" s="313"/>
      <c r="T26" s="313" t="s">
        <v>444</v>
      </c>
      <c r="V26" s="350"/>
      <c r="W26" s="350"/>
      <c r="X26" s="313" t="s">
        <v>445</v>
      </c>
      <c r="Z26" s="313"/>
      <c r="AA26" s="313"/>
      <c r="AB26" s="313"/>
      <c r="AC26" s="313"/>
      <c r="AD26" s="313"/>
      <c r="AE26" s="313"/>
      <c r="AF26" s="313"/>
      <c r="AG26" s="313"/>
      <c r="AH26" s="313"/>
      <c r="AI26" s="313"/>
      <c r="AJ26" s="313"/>
      <c r="AK26" s="313"/>
      <c r="AL26" s="351"/>
    </row>
    <row r="27" ht="17.25" customHeight="1">
      <c r="A27" s="100"/>
      <c r="F27" s="31"/>
      <c r="G27" s="349"/>
      <c r="H27" s="313"/>
      <c r="I27" s="313"/>
      <c r="J27" s="313"/>
      <c r="K27" s="313"/>
      <c r="L27" s="313"/>
      <c r="M27" s="313"/>
      <c r="N27" s="313"/>
      <c r="O27" s="313"/>
      <c r="P27" s="313"/>
      <c r="Q27" s="313"/>
      <c r="R27" s="313"/>
      <c r="S27" s="313"/>
      <c r="V27" s="350"/>
      <c r="W27" s="350"/>
      <c r="Z27" s="313"/>
      <c r="AA27" s="313"/>
      <c r="AB27" s="313"/>
      <c r="AC27" s="313"/>
      <c r="AD27" s="313"/>
      <c r="AE27" s="313"/>
      <c r="AF27" s="313"/>
      <c r="AG27" s="313"/>
      <c r="AH27" s="313"/>
      <c r="AI27" s="313"/>
      <c r="AJ27" s="313"/>
      <c r="AK27" s="313"/>
      <c r="AL27" s="351"/>
    </row>
    <row r="28" ht="17.25" customHeight="1">
      <c r="A28" s="122"/>
      <c r="B28" s="124"/>
      <c r="C28" s="124"/>
      <c r="D28" s="124"/>
      <c r="E28" s="124"/>
      <c r="F28" s="126"/>
      <c r="G28" s="352"/>
      <c r="H28" s="353"/>
      <c r="I28" s="353"/>
      <c r="J28" s="353"/>
      <c r="K28" s="353"/>
      <c r="L28" s="353"/>
      <c r="M28" s="353"/>
      <c r="N28" s="353"/>
      <c r="O28" s="353"/>
      <c r="P28" s="353"/>
      <c r="Q28" s="353"/>
      <c r="R28" s="353"/>
      <c r="S28" s="353"/>
      <c r="T28" s="124"/>
      <c r="U28" s="124"/>
      <c r="V28" s="354"/>
      <c r="W28" s="124"/>
      <c r="X28" s="124"/>
      <c r="Y28" s="124"/>
      <c r="Z28" s="353"/>
      <c r="AA28" s="353"/>
      <c r="AB28" s="353"/>
      <c r="AC28" s="353"/>
      <c r="AD28" s="353"/>
      <c r="AE28" s="353"/>
      <c r="AF28" s="353"/>
      <c r="AG28" s="353"/>
      <c r="AH28" s="353"/>
      <c r="AI28" s="353"/>
      <c r="AJ28" s="353"/>
      <c r="AK28" s="353"/>
      <c r="AL28" s="355"/>
    </row>
    <row r="29" ht="25.5" customHeight="1">
      <c r="A29" s="356"/>
      <c r="B29" s="356"/>
      <c r="C29" s="356"/>
      <c r="D29" s="356"/>
      <c r="E29" s="356"/>
      <c r="F29" s="356"/>
      <c r="G29" s="356"/>
      <c r="H29" s="356"/>
      <c r="I29" s="356"/>
      <c r="J29" s="356"/>
      <c r="K29" s="356"/>
      <c r="L29" s="356"/>
      <c r="M29" s="356"/>
      <c r="N29" s="356"/>
      <c r="O29" s="356"/>
      <c r="P29" s="356"/>
      <c r="Q29" s="356"/>
      <c r="R29" s="356"/>
      <c r="S29" s="356"/>
      <c r="T29" s="356"/>
      <c r="U29" s="356"/>
      <c r="V29" s="356"/>
      <c r="W29" s="356"/>
      <c r="X29" s="356"/>
      <c r="Y29" s="356"/>
      <c r="Z29" s="359" t="s">
        <v>447</v>
      </c>
      <c r="AA29" s="317"/>
      <c r="AB29" s="317"/>
      <c r="AC29" s="317"/>
      <c r="AD29" s="317"/>
      <c r="AE29" s="317"/>
      <c r="AF29" s="317"/>
      <c r="AG29" s="317"/>
      <c r="AH29" s="317"/>
      <c r="AI29" s="317"/>
      <c r="AJ29" s="317"/>
      <c r="AK29" s="317"/>
      <c r="AL29" s="317"/>
    </row>
  </sheetData>
  <mergeCells count="44">
    <mergeCell ref="A1:AL2"/>
    <mergeCell ref="H3:AD3"/>
    <mergeCell ref="AF3:AL3"/>
    <mergeCell ref="A4:F7"/>
    <mergeCell ref="G4:S7"/>
    <mergeCell ref="T4:Y7"/>
    <mergeCell ref="Z4:AL7"/>
    <mergeCell ref="W13:Z14"/>
    <mergeCell ref="AA13:AL14"/>
    <mergeCell ref="W15:AE17"/>
    <mergeCell ref="AF15:AF17"/>
    <mergeCell ref="AG15:AK17"/>
    <mergeCell ref="AL15:AL17"/>
    <mergeCell ref="A8:F11"/>
    <mergeCell ref="G8:L11"/>
    <mergeCell ref="M8:Q11"/>
    <mergeCell ref="R8:Z11"/>
    <mergeCell ref="AA8:AE11"/>
    <mergeCell ref="AF8:AL11"/>
    <mergeCell ref="A13:F14"/>
    <mergeCell ref="Q18:U20"/>
    <mergeCell ref="V18:V20"/>
    <mergeCell ref="W18:AE20"/>
    <mergeCell ref="AF18:AF20"/>
    <mergeCell ref="AG18:AK20"/>
    <mergeCell ref="AL18:AL20"/>
    <mergeCell ref="X21:AL25"/>
    <mergeCell ref="G13:J14"/>
    <mergeCell ref="K13:V14"/>
    <mergeCell ref="A15:F20"/>
    <mergeCell ref="G15:O17"/>
    <mergeCell ref="P15:P17"/>
    <mergeCell ref="Q15:U17"/>
    <mergeCell ref="V15:V17"/>
    <mergeCell ref="X26:Y28"/>
    <mergeCell ref="V28:W28"/>
    <mergeCell ref="Z29:AL29"/>
    <mergeCell ref="G18:O20"/>
    <mergeCell ref="P18:P20"/>
    <mergeCell ref="A21:F25"/>
    <mergeCell ref="G21:U25"/>
    <mergeCell ref="V21:W25"/>
    <mergeCell ref="A26:F28"/>
    <mergeCell ref="T26:U28"/>
  </mergeCells>
  <printOptions horizontalCentered="1" verticalCentered="1"/>
  <pageMargins bottom="0.19685039370078738" footer="0.0" header="0.0" left="0.19685039370078738" right="0.1968503937007874" top="0.19685039370078738"/>
  <pageSetup paperSize="13" orientation="landscape"/>
  <drawing r:id="rId1"/>
</worksheet>
</file>